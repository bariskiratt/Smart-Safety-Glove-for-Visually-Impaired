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bout" sheetId="2" r:id="rId5"/>
  </sheets>
  <definedNames>
    <definedName localSheetId="0" name="task_progress">ProjectSchedule!$D$1</definedName>
    <definedName localSheetId="0" name="task_end">ProjectSchedule!$F$1</definedName>
    <definedName localSheetId="0" name="task_start">ProjectSchedule!$E$1</definedName>
    <definedName localSheetId="0" name="today">ProjectSchedule!$E$3</definedName>
  </definedNames>
  <calcPr/>
  <extLst>
    <ext uri="GoogleSheetsCustomDataVersion2">
      <go:sheetsCustomData xmlns:go="http://customooxmlschemas.google.com/" r:id="rId6" roundtripDataChecksum="TYX4jLCzhB7C7lstbXkVsSV0DWSoBEfl4gP7Bz950L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
ID#AAABtEndQgs
DAYS    (2025-10-21 17:07:55)
This column calculates the duration of the task in calendar days. The duration includes both the Start and End dates.</t>
      </text>
    </comment>
  </commentList>
  <extLst>
    <ext uri="GoogleSheetsCustomDataVersion2">
      <go:sheetsCustomData xmlns:go="http://customooxmlschemas.google.com/" r:id="rId1" roundtripDataSignature="AMtx7mhrho7yft3nrZljrNx2P6T8tHPmVg=="/>
    </ext>
  </extLst>
</comments>
</file>

<file path=xl/sharedStrings.xml><?xml version="1.0" encoding="utf-8"?>
<sst xmlns="http://schemas.openxmlformats.org/spreadsheetml/2006/main" count="51" uniqueCount="48">
  <si>
    <t>Final Project of HeatSense Glove</t>
  </si>
  <si>
    <t>FSE100</t>
  </si>
  <si>
    <t>Project Start:</t>
  </si>
  <si>
    <t>Dr. Ayca Tuzmen</t>
  </si>
  <si>
    <t>Today:</t>
  </si>
  <si>
    <t>Display Week:</t>
  </si>
  <si>
    <t>TASK</t>
  </si>
  <si>
    <t>ASSIGNED
TO</t>
  </si>
  <si>
    <t>PROGRESS</t>
  </si>
  <si>
    <t>START</t>
  </si>
  <si>
    <t>END</t>
  </si>
  <si>
    <t>DAYS</t>
  </si>
  <si>
    <t>Milestone 1 - Preperation</t>
  </si>
  <si>
    <t>Gather Required Materials</t>
  </si>
  <si>
    <t>Finalize Idea</t>
  </si>
  <si>
    <t>Requirements and Design</t>
  </si>
  <si>
    <t>First implementation</t>
  </si>
  <si>
    <t>Milestone 2 - Assembly</t>
  </si>
  <si>
    <t>Setting up the breadboard and RaspberryPI with the glove</t>
  </si>
  <si>
    <t>Connection of wires and components</t>
  </si>
  <si>
    <t>Prototye : Connections and placements are made</t>
  </si>
  <si>
    <t>Initial Coding</t>
  </si>
  <si>
    <t>Initial Testing</t>
  </si>
  <si>
    <t>Milestone 3 - Inputs and Feedback</t>
  </si>
  <si>
    <t>Final Coding &amp; Testing</t>
  </si>
  <si>
    <t>Correct Errors from Prototype</t>
  </si>
  <si>
    <t>Correction of overall project: Should meet the milestone 4 criterias</t>
  </si>
  <si>
    <t>Brainstorm improvements</t>
  </si>
  <si>
    <t>Make improvements</t>
  </si>
  <si>
    <t>Milestone 4 - Finalization</t>
  </si>
  <si>
    <t>Final Design</t>
  </si>
  <si>
    <t>All Corrections Made</t>
  </si>
  <si>
    <t>Testing</t>
  </si>
  <si>
    <t>Completion</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</si>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</sst>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m/d/yyyy"/>
    <numFmt numFmtId="165" formatCode="mmm\ d\,\ yyyy"/>
    <numFmt numFmtId="166" formatCode="d"/>
    <numFmt numFmtId="167" formatCode="m/d/yy"/>
  </numFmts>
  <fonts count="31">
    <font>
      <sz val="11.0"/>
      <color theme="1"/>
      <name val="Calibri"/>
      <scheme val="minor"/>
    </font>
    <font>
      <b/>
      <sz val="22.0"/>
      <color rgb="FF595959"/>
      <name val="Calibri"/>
    </font>
    <font>
      <b/>
      <sz val="20.0"/>
      <color rgb="FF366092"/>
      <name val="Calibri"/>
    </font>
    <font>
      <sz val="10.0"/>
      <color theme="1"/>
      <name val="Calibri"/>
    </font>
    <font>
      <sz val="10.0"/>
      <color rgb="FF7F7F7F"/>
      <name val="Calibri"/>
    </font>
    <font>
      <sz val="9.0"/>
      <color rgb="FF366092"/>
      <name val="Arial"/>
    </font>
    <font>
      <sz val="14.0"/>
      <color theme="1"/>
      <name val="Calibri"/>
    </font>
    <font>
      <sz val="11.0"/>
      <color theme="1"/>
      <name val="Calibri"/>
    </font>
    <font/>
    <font>
      <sz val="9.0"/>
      <color theme="1"/>
      <name val="Calibri"/>
    </font>
    <font>
      <sz val="16.0"/>
      <color theme="1"/>
      <name val="Calibri"/>
    </font>
    <font>
      <b/>
      <sz val="9.0"/>
      <color theme="0"/>
      <name val="Calibri"/>
    </font>
    <font>
      <sz val="8.0"/>
      <color theme="0"/>
      <name val="Calibri"/>
    </font>
    <font>
      <b/>
      <sz val="11.0"/>
      <color theme="1"/>
      <name val="Calibri"/>
    </font>
    <font>
      <color theme="1"/>
      <name val="Calibri"/>
    </font>
    <font>
      <b/>
      <u/>
      <sz val="11.0"/>
      <color rgb="FF7F7F7F"/>
      <name val="Calibri"/>
    </font>
    <font>
      <b/>
      <sz val="11.0"/>
      <color rgb="FF7F7F7F"/>
      <name val="Calibri"/>
    </font>
    <font>
      <sz val="11.0"/>
      <color theme="0"/>
      <name val="Calibri"/>
    </font>
    <font>
      <u/>
      <sz val="9.0"/>
      <color rgb="FF7F7F7F"/>
      <name val="Arial"/>
    </font>
    <font>
      <sz val="10.0"/>
      <color rgb="FF7F7F7F"/>
      <name val="Arial"/>
    </font>
    <font>
      <sz val="9.0"/>
      <color rgb="FF7F7F7F"/>
      <name val="Arial"/>
    </font>
    <font>
      <b/>
      <sz val="10.0"/>
      <color theme="1"/>
      <name val="Calibri"/>
    </font>
    <font>
      <b/>
      <u/>
      <sz val="12.0"/>
      <color rgb="FF595959"/>
      <name val="Calibri"/>
    </font>
    <font>
      <b/>
      <sz val="12.0"/>
      <color rgb="FF595959"/>
      <name val="Calibri"/>
    </font>
    <font>
      <u/>
      <sz val="11.0"/>
      <color rgb="FF7F7F7F"/>
      <name val="Calibri"/>
    </font>
    <font>
      <sz val="11.0"/>
      <color rgb="FF7F7F7F"/>
      <name val="Calibri"/>
    </font>
    <font>
      <sz val="10.0"/>
      <color rgb="FF595959"/>
      <name val="Calibri"/>
    </font>
    <font>
      <sz val="20.0"/>
      <color theme="1"/>
      <name val="Calibri"/>
    </font>
    <font>
      <b/>
      <sz val="16.0"/>
      <color rgb="FF366092"/>
      <name val="Calibri"/>
    </font>
    <font>
      <sz val="11.0"/>
      <color rgb="FF1D2129"/>
      <name val="Calibri"/>
    </font>
    <font>
      <u/>
      <sz val="11.0"/>
      <color rgb="FF0000FF"/>
      <name val="Arial"/>
    </font>
  </fonts>
  <fills count="15">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B6D7A8"/>
        <bgColor rgb="FFB6D7A8"/>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999999"/>
        <bgColor rgb="FF999999"/>
      </patternFill>
    </fill>
    <fill>
      <patternFill patternType="solid">
        <fgColor rgb="FFF2F2F2"/>
        <bgColor rgb="FFF2F2F2"/>
      </patternFill>
    </fill>
  </fills>
  <borders count="23">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left style="thin">
        <color rgb="FFA5A5A5"/>
      </left>
      <top style="thin">
        <color rgb="FFA5A5A5"/>
      </top>
    </border>
    <border>
      <top style="thin">
        <color rgb="FFA5A5A5"/>
      </top>
    </border>
    <border>
      <right style="thin">
        <color rgb="FFA5A5A5"/>
      </right>
      <top style="thin">
        <color rgb="FFA5A5A5"/>
      </top>
    </border>
    <border>
      <left style="thin">
        <color rgb="FFA5A5A5"/>
      </left>
      <right/>
      <top/>
      <bottom/>
    </border>
    <border>
      <left/>
      <right/>
      <top/>
      <bottom/>
    </border>
    <border>
      <left/>
      <right style="thin">
        <color rgb="FFA5A5A5"/>
      </right>
      <top/>
      <bottom/>
    </border>
    <border>
      <left style="thin">
        <color rgb="FFA5A5A5"/>
      </left>
    </border>
    <border>
      <right style="thin">
        <color rgb="FFA5A5A5"/>
      </right>
    </border>
    <border>
      <left/>
      <right/>
      <top style="thin">
        <color rgb="FFA5A5A5"/>
      </top>
      <bottom/>
    </border>
    <border>
      <left style="thin">
        <color rgb="FFA5A5A5"/>
      </left>
      <right style="thin">
        <color rgb="FFA5A5A5"/>
      </right>
      <top/>
      <bottom style="medium">
        <color rgb="FFD8D8D8"/>
      </bottom>
    </border>
    <border>
      <left style="thin">
        <color rgb="FFA5A5A5"/>
      </left>
      <bottom style="medium">
        <color rgb="FFD8D8D8"/>
      </bottom>
    </border>
    <border>
      <bottom style="medium">
        <color rgb="FFD8D8D8"/>
      </bottom>
    </border>
    <border>
      <right style="thin">
        <color rgb="FFA5A5A5"/>
      </right>
      <bottom style="medium">
        <color rgb="FFD8D8D8"/>
      </bottom>
    </border>
    <border>
      <top style="medium">
        <color rgb="FFD8D8D8"/>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xf>
    <xf borderId="0" fillId="0" fontId="3" numFmtId="0" xfId="0" applyFont="1"/>
    <xf borderId="0" fillId="0" fontId="3" numFmtId="0" xfId="0" applyAlignment="1" applyFont="1">
      <alignment horizontal="center"/>
    </xf>
    <xf borderId="0" fillId="0" fontId="3" numFmtId="0" xfId="0" applyAlignment="1" applyFont="1">
      <alignment horizontal="right" vertical="center"/>
    </xf>
    <xf borderId="0" fillId="0" fontId="4" numFmtId="0" xfId="0" applyAlignment="1" applyFont="1">
      <alignment vertical="center"/>
    </xf>
    <xf borderId="0" fillId="0" fontId="5" numFmtId="0" xfId="0" applyAlignment="1" applyFont="1">
      <alignment horizontal="left" vertical="center"/>
    </xf>
    <xf borderId="0" fillId="0" fontId="6" numFmtId="0" xfId="0" applyFont="1"/>
    <xf borderId="0" fillId="0" fontId="7" numFmtId="0" xfId="0" applyAlignment="1" applyFont="1">
      <alignment horizontal="right" vertical="center"/>
    </xf>
    <xf borderId="1" fillId="0" fontId="7" numFmtId="164" xfId="0" applyAlignment="1" applyBorder="1" applyFont="1" applyNumberFormat="1">
      <alignment horizontal="center" vertical="center"/>
    </xf>
    <xf borderId="2" fillId="0" fontId="8" numFmtId="0" xfId="0" applyBorder="1" applyFont="1"/>
    <xf borderId="3" fillId="0" fontId="7" numFmtId="0" xfId="0" applyAlignment="1" applyBorder="1" applyFont="1">
      <alignment horizontal="center" vertical="center"/>
    </xf>
    <xf borderId="4" fillId="2" fontId="7" numFmtId="165" xfId="0" applyAlignment="1" applyBorder="1" applyFill="1" applyFont="1" applyNumberFormat="1">
      <alignment horizontal="center" shrinkToFit="0" vertical="center" wrapText="1"/>
    </xf>
    <xf borderId="5" fillId="0" fontId="8" numFmtId="0" xfId="0" applyBorder="1" applyFont="1"/>
    <xf borderId="6" fillId="0" fontId="8" numFmtId="0" xfId="0" applyBorder="1" applyFont="1"/>
    <xf borderId="7" fillId="0" fontId="7" numFmtId="165" xfId="0" applyAlignment="1" applyBorder="1" applyFont="1" applyNumberFormat="1">
      <alignment horizontal="left" shrinkToFit="0" vertical="center" wrapText="1"/>
    </xf>
    <xf borderId="8" fillId="0" fontId="8" numFmtId="0" xfId="0" applyBorder="1" applyFont="1"/>
    <xf borderId="9" fillId="0" fontId="8" numFmtId="0" xfId="0" applyBorder="1" applyFont="1"/>
    <xf borderId="0" fillId="0" fontId="7" numFmtId="0" xfId="0" applyAlignment="1" applyFont="1">
      <alignment horizontal="center"/>
    </xf>
    <xf borderId="10" fillId="2" fontId="9" numFmtId="166" xfId="0" applyAlignment="1" applyBorder="1" applyFont="1" applyNumberFormat="1">
      <alignment horizontal="center" vertical="center"/>
    </xf>
    <xf borderId="11" fillId="2" fontId="9" numFmtId="166" xfId="0" applyAlignment="1" applyBorder="1" applyFont="1" applyNumberFormat="1">
      <alignment horizontal="center" vertical="center"/>
    </xf>
    <xf borderId="12" fillId="2" fontId="9" numFmtId="166" xfId="0" applyAlignment="1" applyBorder="1" applyFont="1" applyNumberFormat="1">
      <alignment horizontal="center" vertical="center"/>
    </xf>
    <xf borderId="13" fillId="0" fontId="8" numFmtId="0" xfId="0" applyBorder="1" applyFont="1"/>
    <xf borderId="14" fillId="0" fontId="8" numFmtId="0" xfId="0" applyBorder="1" applyFont="1"/>
    <xf borderId="0" fillId="0" fontId="10" numFmtId="0" xfId="0" applyAlignment="1" applyFont="1">
      <alignment horizontal="right" vertical="center"/>
    </xf>
    <xf borderId="15" fillId="3" fontId="11" numFmtId="0" xfId="0" applyAlignment="1" applyBorder="1" applyFill="1" applyFont="1">
      <alignment horizontal="left" vertical="center"/>
    </xf>
    <xf borderId="15" fillId="3" fontId="11" numFmtId="0" xfId="0" applyAlignment="1" applyBorder="1" applyFont="1">
      <alignment horizontal="center" shrinkToFit="0" vertical="center" wrapText="1"/>
    </xf>
    <xf borderId="16" fillId="3" fontId="12" numFmtId="0" xfId="0" applyAlignment="1" applyBorder="1" applyFont="1">
      <alignment horizontal="center" shrinkToFit="1" vertical="center" wrapText="0"/>
    </xf>
    <xf borderId="17" fillId="0" fontId="8" numFmtId="0" xfId="0" applyBorder="1" applyFont="1"/>
    <xf borderId="18" fillId="0" fontId="8" numFmtId="0" xfId="0" applyBorder="1" applyFont="1"/>
    <xf borderId="19" fillId="0" fontId="8" numFmtId="0" xfId="0" applyBorder="1" applyFont="1"/>
    <xf borderId="20" fillId="0" fontId="7" numFmtId="0" xfId="0" applyAlignment="1" applyBorder="1" applyFont="1">
      <alignment horizontal="left" vertical="center"/>
    </xf>
    <xf borderId="20" fillId="0" fontId="7" numFmtId="0" xfId="0" applyAlignment="1" applyBorder="1" applyFont="1">
      <alignment horizontal="center" vertical="center"/>
    </xf>
    <xf borderId="20" fillId="0" fontId="7" numFmtId="9" xfId="0" applyAlignment="1" applyBorder="1" applyFont="1" applyNumberFormat="1">
      <alignment horizontal="center" vertical="center"/>
    </xf>
    <xf borderId="20" fillId="0" fontId="7" numFmtId="167" xfId="0" applyAlignment="1" applyBorder="1" applyFont="1" applyNumberFormat="1">
      <alignment horizontal="center" vertical="center"/>
    </xf>
    <xf borderId="21" fillId="0" fontId="7" numFmtId="0" xfId="0" applyAlignment="1" applyBorder="1" applyFont="1">
      <alignment vertical="center"/>
    </xf>
    <xf borderId="22" fillId="4" fontId="13" numFmtId="0" xfId="0" applyAlignment="1" applyBorder="1" applyFill="1" applyFont="1">
      <alignment horizontal="left" vertical="center"/>
    </xf>
    <xf borderId="22" fillId="4" fontId="13" numFmtId="0" xfId="0" applyAlignment="1" applyBorder="1" applyFont="1">
      <alignment horizontal="center" vertical="center"/>
    </xf>
    <xf borderId="22" fillId="4" fontId="7" numFmtId="9" xfId="0" applyAlignment="1" applyBorder="1" applyFont="1" applyNumberFormat="1">
      <alignment horizontal="center" vertical="center"/>
    </xf>
    <xf borderId="22" fillId="4" fontId="7" numFmtId="167" xfId="0" applyAlignment="1" applyBorder="1" applyFont="1" applyNumberFormat="1">
      <alignment horizontal="center" vertical="center"/>
    </xf>
    <xf borderId="22" fillId="5" fontId="7" numFmtId="0" xfId="0" applyAlignment="1" applyBorder="1" applyFill="1" applyFont="1">
      <alignment horizontal="left" vertical="center"/>
    </xf>
    <xf borderId="22" fillId="5" fontId="7" numFmtId="0" xfId="0" applyAlignment="1" applyBorder="1" applyFont="1">
      <alignment horizontal="center" vertical="center"/>
    </xf>
    <xf borderId="22" fillId="5" fontId="7" numFmtId="167" xfId="0" applyAlignment="1" applyBorder="1" applyFont="1" applyNumberFormat="1">
      <alignment horizontal="center" vertical="center"/>
    </xf>
    <xf borderId="22" fillId="5" fontId="7" numFmtId="9" xfId="0" applyAlignment="1" applyBorder="1" applyFont="1" applyNumberFormat="1">
      <alignment horizontal="center" readingOrder="0" vertical="center"/>
    </xf>
    <xf borderId="21" fillId="6" fontId="7" numFmtId="0" xfId="0" applyAlignment="1" applyBorder="1" applyFill="1" applyFont="1">
      <alignment vertical="center"/>
    </xf>
    <xf borderId="22" fillId="5" fontId="7" numFmtId="9" xfId="0" applyAlignment="1" applyBorder="1" applyFont="1" applyNumberFormat="1">
      <alignment horizontal="center" vertical="center"/>
    </xf>
    <xf borderId="21" fillId="0" fontId="7" numFmtId="0" xfId="0" applyAlignment="1" applyBorder="1" applyFont="1">
      <alignment horizontal="right" vertical="center"/>
    </xf>
    <xf borderId="22" fillId="7" fontId="13" numFmtId="0" xfId="0" applyAlignment="1" applyBorder="1" applyFill="1" applyFont="1">
      <alignment horizontal="left" vertical="center"/>
    </xf>
    <xf borderId="22" fillId="7" fontId="13" numFmtId="0" xfId="0" applyAlignment="1" applyBorder="1" applyFont="1">
      <alignment horizontal="center" vertical="center"/>
    </xf>
    <xf borderId="22" fillId="7" fontId="7" numFmtId="9" xfId="0" applyAlignment="1" applyBorder="1" applyFont="1" applyNumberFormat="1">
      <alignment horizontal="center" vertical="center"/>
    </xf>
    <xf borderId="22" fillId="7" fontId="7" numFmtId="167" xfId="0" applyAlignment="1" applyBorder="1" applyFont="1" applyNumberFormat="1">
      <alignment horizontal="center" vertical="center"/>
    </xf>
    <xf borderId="22" fillId="8" fontId="7" numFmtId="0" xfId="0" applyAlignment="1" applyBorder="1" applyFill="1" applyFont="1">
      <alignment horizontal="left" vertical="center"/>
    </xf>
    <xf borderId="22" fillId="8" fontId="7" numFmtId="0" xfId="0" applyAlignment="1" applyBorder="1" applyFont="1">
      <alignment horizontal="center" vertical="center"/>
    </xf>
    <xf borderId="22" fillId="8" fontId="7" numFmtId="9" xfId="0" applyAlignment="1" applyBorder="1" applyFont="1" applyNumberFormat="1">
      <alignment horizontal="center" vertical="center"/>
    </xf>
    <xf borderId="0" fillId="8" fontId="14" numFmtId="0" xfId="0" applyFont="1"/>
    <xf borderId="22" fillId="9" fontId="13" numFmtId="0" xfId="0" applyAlignment="1" applyBorder="1" applyFill="1" applyFont="1">
      <alignment horizontal="left" vertical="center"/>
    </xf>
    <xf borderId="22" fillId="9" fontId="13" numFmtId="0" xfId="0" applyAlignment="1" applyBorder="1" applyFont="1">
      <alignment horizontal="center" vertical="center"/>
    </xf>
    <xf borderId="22" fillId="9" fontId="7" numFmtId="9" xfId="0" applyAlignment="1" applyBorder="1" applyFont="1" applyNumberFormat="1">
      <alignment horizontal="center" vertical="center"/>
    </xf>
    <xf borderId="22" fillId="9" fontId="7" numFmtId="167" xfId="0" applyAlignment="1" applyBorder="1" applyFont="1" applyNumberFormat="1">
      <alignment horizontal="center" vertical="center"/>
    </xf>
    <xf borderId="22" fillId="10" fontId="7" numFmtId="0" xfId="0" applyAlignment="1" applyBorder="1" applyFill="1" applyFont="1">
      <alignment horizontal="left" vertical="center"/>
    </xf>
    <xf borderId="22" fillId="10" fontId="7" numFmtId="0" xfId="0" applyAlignment="1" applyBorder="1" applyFont="1">
      <alignment horizontal="center" vertical="center"/>
    </xf>
    <xf borderId="22" fillId="10" fontId="7" numFmtId="9" xfId="0" applyAlignment="1" applyBorder="1" applyFont="1" applyNumberFormat="1">
      <alignment horizontal="center" vertical="center"/>
    </xf>
    <xf borderId="22" fillId="10" fontId="7" numFmtId="167" xfId="0" applyAlignment="1" applyBorder="1" applyFont="1" applyNumberFormat="1">
      <alignment horizontal="center" vertical="center"/>
    </xf>
    <xf borderId="22" fillId="11" fontId="13" numFmtId="0" xfId="0" applyAlignment="1" applyBorder="1" applyFill="1" applyFont="1">
      <alignment horizontal="left" vertical="center"/>
    </xf>
    <xf borderId="22" fillId="11" fontId="13" numFmtId="0" xfId="0" applyAlignment="1" applyBorder="1" applyFont="1">
      <alignment horizontal="center" vertical="center"/>
    </xf>
    <xf borderId="22" fillId="11" fontId="7" numFmtId="9" xfId="0" applyAlignment="1" applyBorder="1" applyFont="1" applyNumberFormat="1">
      <alignment horizontal="center" vertical="center"/>
    </xf>
    <xf borderId="22" fillId="11" fontId="7" numFmtId="167" xfId="0" applyAlignment="1" applyBorder="1" applyFont="1" applyNumberFormat="1">
      <alignment horizontal="center" vertical="center"/>
    </xf>
    <xf borderId="22" fillId="12" fontId="7" numFmtId="0" xfId="0" applyAlignment="1" applyBorder="1" applyFill="1" applyFont="1">
      <alignment horizontal="left" vertical="center"/>
    </xf>
    <xf borderId="22" fillId="12" fontId="7" numFmtId="0" xfId="0" applyAlignment="1" applyBorder="1" applyFont="1">
      <alignment horizontal="center" vertical="center"/>
    </xf>
    <xf borderId="22" fillId="12" fontId="7" numFmtId="9" xfId="0" applyAlignment="1" applyBorder="1" applyFont="1" applyNumberFormat="1">
      <alignment horizontal="center" vertical="center"/>
    </xf>
    <xf borderId="22" fillId="12" fontId="7" numFmtId="167" xfId="0" applyAlignment="1" applyBorder="1" applyFont="1" applyNumberFormat="1">
      <alignment horizontal="center" vertical="center"/>
    </xf>
    <xf borderId="21" fillId="13" fontId="7" numFmtId="0" xfId="0" applyAlignment="1" applyBorder="1" applyFill="1" applyFont="1">
      <alignment vertical="center"/>
    </xf>
    <xf borderId="20" fillId="0" fontId="13" numFmtId="0" xfId="0" applyAlignment="1" applyBorder="1" applyFont="1">
      <alignment horizontal="left" vertical="center"/>
    </xf>
    <xf borderId="22" fillId="14" fontId="7" numFmtId="0" xfId="0" applyAlignment="1" applyBorder="1" applyFill="1" applyFont="1">
      <alignment horizontal="center" vertical="center"/>
    </xf>
    <xf borderId="21" fillId="14" fontId="7" numFmtId="0" xfId="0" applyAlignment="1" applyBorder="1" applyFont="1">
      <alignment vertical="center"/>
    </xf>
    <xf borderId="0" fillId="0" fontId="15" numFmtId="0" xfId="0" applyFont="1"/>
    <xf borderId="0" fillId="0" fontId="16" numFmtId="0" xfId="0" applyFont="1"/>
    <xf borderId="0" fillId="0" fontId="17" numFmtId="14" xfId="0" applyAlignment="1" applyFont="1" applyNumberFormat="1">
      <alignment horizontal="center"/>
    </xf>
    <xf borderId="0" fillId="0" fontId="18" numFmtId="0" xfId="0" applyFont="1"/>
    <xf borderId="0" fillId="0" fontId="19" numFmtId="0" xfId="0" applyFont="1"/>
    <xf borderId="0" fillId="0" fontId="20" numFmtId="0" xfId="0" applyFont="1"/>
    <xf borderId="0" fillId="0" fontId="3" numFmtId="0" xfId="0" applyAlignment="1" applyFont="1">
      <alignment vertical="top"/>
    </xf>
    <xf borderId="0" fillId="0" fontId="21" numFmtId="0" xfId="0" applyAlignment="1" applyFont="1">
      <alignment horizontal="left" vertical="center"/>
    </xf>
    <xf borderId="0" fillId="0" fontId="22" numFmtId="0" xfId="0" applyAlignment="1" applyFont="1">
      <alignment horizontal="left" vertical="center"/>
    </xf>
    <xf borderId="0" fillId="0" fontId="23" numFmtId="0" xfId="0" applyAlignment="1" applyFont="1">
      <alignment horizontal="left" vertical="center"/>
    </xf>
    <xf borderId="0" fillId="0" fontId="3" numFmtId="0" xfId="0" applyAlignment="1" applyFont="1">
      <alignment horizontal="left" vertical="center"/>
    </xf>
    <xf borderId="0" fillId="0" fontId="24" numFmtId="0" xfId="0" applyAlignment="1" applyFont="1">
      <alignment vertical="center"/>
    </xf>
    <xf borderId="0" fillId="0" fontId="25" numFmtId="0" xfId="0" applyAlignment="1" applyFont="1">
      <alignment vertical="center"/>
    </xf>
    <xf borderId="0" fillId="0" fontId="26" numFmtId="0" xfId="0" applyAlignment="1" applyFont="1">
      <alignment vertical="top"/>
    </xf>
    <xf borderId="0" fillId="0" fontId="27" numFmtId="0" xfId="0" applyFont="1"/>
    <xf borderId="0" fillId="0" fontId="28" numFmtId="0" xfId="0" applyAlignment="1" applyFont="1">
      <alignment vertical="center"/>
    </xf>
    <xf borderId="0" fillId="0" fontId="29" numFmtId="0" xfId="0" applyAlignment="1" applyFont="1">
      <alignment horizontal="left" shrinkToFit="0" vertical="top" wrapText="1"/>
    </xf>
    <xf borderId="0" fillId="0" fontId="29" numFmtId="0" xfId="0" applyAlignment="1" applyFont="1">
      <alignment shrinkToFit="0" vertical="top" wrapText="1"/>
    </xf>
    <xf borderId="0" fillId="0" fontId="30"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95250</xdr:rowOff>
    </xdr:from>
    <xdr:ext cx="1905000"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19.86"/>
    <col customWidth="1" min="3" max="3" width="9.14"/>
    <col customWidth="1" min="4" max="4" width="10.71"/>
    <col customWidth="1" min="5" max="6" width="10.43"/>
    <col customWidth="1" min="7" max="7" width="2.71"/>
    <col customWidth="1" min="8" max="15" width="6.14"/>
    <col customWidth="1" min="16" max="22" width="4.86"/>
    <col customWidth="1" min="23" max="29" width="5.57"/>
    <col customWidth="1" min="30" max="36" width="5.86"/>
    <col customWidth="1" min="37" max="43" width="5.71"/>
    <col customWidth="1" min="44" max="50" width="6.29"/>
    <col customWidth="1" min="51" max="57" width="5.57"/>
    <col customWidth="1" min="58" max="64" width="2.57"/>
  </cols>
  <sheetData>
    <row r="1">
      <c r="B1" s="1" t="s">
        <v>0</v>
      </c>
      <c r="C1" s="2"/>
      <c r="D1" s="3"/>
      <c r="E1" s="4"/>
      <c r="F1" s="5"/>
      <c r="H1" s="3"/>
      <c r="I1" s="6"/>
      <c r="J1" s="7"/>
    </row>
    <row r="2" ht="19.5" customHeight="1">
      <c r="B2" s="8" t="s">
        <v>1</v>
      </c>
      <c r="D2" s="9" t="s">
        <v>2</v>
      </c>
      <c r="E2" s="10">
        <v>45946.0</v>
      </c>
      <c r="F2" s="11"/>
    </row>
    <row r="3" ht="19.5" customHeight="1">
      <c r="B3" s="8" t="s">
        <v>3</v>
      </c>
      <c r="D3" s="9" t="s">
        <v>4</v>
      </c>
      <c r="E3" s="10">
        <v>45939.0</v>
      </c>
      <c r="F3" s="11"/>
    </row>
    <row r="4" ht="19.5" customHeight="1">
      <c r="D4" s="9" t="s">
        <v>5</v>
      </c>
      <c r="E4" s="12">
        <v>1.0</v>
      </c>
      <c r="I4" s="13">
        <f>I5</f>
        <v>45943</v>
      </c>
      <c r="J4" s="14"/>
      <c r="K4" s="14"/>
      <c r="L4" s="14"/>
      <c r="M4" s="14"/>
      <c r="N4" s="14"/>
      <c r="O4" s="15"/>
      <c r="P4" s="13">
        <f>P5</f>
        <v>45950</v>
      </c>
      <c r="Q4" s="14"/>
      <c r="R4" s="14"/>
      <c r="S4" s="14"/>
      <c r="T4" s="14"/>
      <c r="U4" s="14"/>
      <c r="V4" s="15"/>
      <c r="W4" s="13">
        <f>W5</f>
        <v>45957</v>
      </c>
      <c r="X4" s="14"/>
      <c r="Y4" s="14"/>
      <c r="Z4" s="14"/>
      <c r="AA4" s="14"/>
      <c r="AB4" s="14"/>
      <c r="AC4" s="15"/>
      <c r="AD4" s="13">
        <f>AD5</f>
        <v>45964</v>
      </c>
      <c r="AE4" s="14"/>
      <c r="AF4" s="14"/>
      <c r="AG4" s="14"/>
      <c r="AH4" s="14"/>
      <c r="AI4" s="14"/>
      <c r="AJ4" s="15"/>
      <c r="AK4" s="13">
        <f>AK5</f>
        <v>45971</v>
      </c>
      <c r="AL4" s="14"/>
      <c r="AM4" s="14"/>
      <c r="AN4" s="14"/>
      <c r="AO4" s="14"/>
      <c r="AP4" s="14"/>
      <c r="AQ4" s="15"/>
      <c r="AR4" s="13">
        <f>AR5</f>
        <v>45978</v>
      </c>
      <c r="AS4" s="14"/>
      <c r="AT4" s="14"/>
      <c r="AU4" s="14"/>
      <c r="AV4" s="14"/>
      <c r="AW4" s="14"/>
      <c r="AX4" s="15"/>
      <c r="AY4" s="13">
        <f>AY5</f>
        <v>45985</v>
      </c>
      <c r="AZ4" s="14"/>
      <c r="BA4" s="14"/>
      <c r="BB4" s="14"/>
      <c r="BC4" s="14"/>
      <c r="BD4" s="14"/>
      <c r="BE4" s="15"/>
      <c r="BF4" s="16"/>
      <c r="BG4" s="17"/>
      <c r="BH4" s="17"/>
      <c r="BI4" s="17"/>
      <c r="BJ4" s="17"/>
      <c r="BK4" s="17"/>
      <c r="BL4" s="18"/>
    </row>
    <row r="5">
      <c r="A5" s="9"/>
      <c r="E5" s="19"/>
      <c r="G5" s="9"/>
      <c r="I5" s="20">
        <f>E2-WEEKDAY(E2,1)+2+7*(E4-1)</f>
        <v>45943</v>
      </c>
      <c r="J5" s="21">
        <f t="shared" ref="J5:BE5" si="1">I5+1</f>
        <v>45944</v>
      </c>
      <c r="K5" s="21">
        <f t="shared" si="1"/>
        <v>45945</v>
      </c>
      <c r="L5" s="21">
        <f t="shared" si="1"/>
        <v>45946</v>
      </c>
      <c r="M5" s="21">
        <f t="shared" si="1"/>
        <v>45947</v>
      </c>
      <c r="N5" s="21">
        <f t="shared" si="1"/>
        <v>45948</v>
      </c>
      <c r="O5" s="22">
        <f t="shared" si="1"/>
        <v>45949</v>
      </c>
      <c r="P5" s="20">
        <f t="shared" si="1"/>
        <v>45950</v>
      </c>
      <c r="Q5" s="21">
        <f t="shared" si="1"/>
        <v>45951</v>
      </c>
      <c r="R5" s="21">
        <f t="shared" si="1"/>
        <v>45952</v>
      </c>
      <c r="S5" s="21">
        <f t="shared" si="1"/>
        <v>45953</v>
      </c>
      <c r="T5" s="21">
        <f t="shared" si="1"/>
        <v>45954</v>
      </c>
      <c r="U5" s="21">
        <f t="shared" si="1"/>
        <v>45955</v>
      </c>
      <c r="V5" s="22">
        <f t="shared" si="1"/>
        <v>45956</v>
      </c>
      <c r="W5" s="20">
        <f t="shared" si="1"/>
        <v>45957</v>
      </c>
      <c r="X5" s="21">
        <f t="shared" si="1"/>
        <v>45958</v>
      </c>
      <c r="Y5" s="21">
        <f t="shared" si="1"/>
        <v>45959</v>
      </c>
      <c r="Z5" s="21">
        <f t="shared" si="1"/>
        <v>45960</v>
      </c>
      <c r="AA5" s="21">
        <f t="shared" si="1"/>
        <v>45961</v>
      </c>
      <c r="AB5" s="21">
        <f t="shared" si="1"/>
        <v>45962</v>
      </c>
      <c r="AC5" s="22">
        <f t="shared" si="1"/>
        <v>45963</v>
      </c>
      <c r="AD5" s="20">
        <f t="shared" si="1"/>
        <v>45964</v>
      </c>
      <c r="AE5" s="21">
        <f t="shared" si="1"/>
        <v>45965</v>
      </c>
      <c r="AF5" s="21">
        <f t="shared" si="1"/>
        <v>45966</v>
      </c>
      <c r="AG5" s="21">
        <f t="shared" si="1"/>
        <v>45967</v>
      </c>
      <c r="AH5" s="21">
        <f t="shared" si="1"/>
        <v>45968</v>
      </c>
      <c r="AI5" s="21">
        <f t="shared" si="1"/>
        <v>45969</v>
      </c>
      <c r="AJ5" s="22">
        <f t="shared" si="1"/>
        <v>45970</v>
      </c>
      <c r="AK5" s="20">
        <f t="shared" si="1"/>
        <v>45971</v>
      </c>
      <c r="AL5" s="21">
        <f t="shared" si="1"/>
        <v>45972</v>
      </c>
      <c r="AM5" s="21">
        <f t="shared" si="1"/>
        <v>45973</v>
      </c>
      <c r="AN5" s="21">
        <f t="shared" si="1"/>
        <v>45974</v>
      </c>
      <c r="AO5" s="21">
        <f t="shared" si="1"/>
        <v>45975</v>
      </c>
      <c r="AP5" s="21">
        <f t="shared" si="1"/>
        <v>45976</v>
      </c>
      <c r="AQ5" s="22">
        <f t="shared" si="1"/>
        <v>45977</v>
      </c>
      <c r="AR5" s="20">
        <f t="shared" si="1"/>
        <v>45978</v>
      </c>
      <c r="AS5" s="21">
        <f t="shared" si="1"/>
        <v>45979</v>
      </c>
      <c r="AT5" s="21">
        <f t="shared" si="1"/>
        <v>45980</v>
      </c>
      <c r="AU5" s="21">
        <f t="shared" si="1"/>
        <v>45981</v>
      </c>
      <c r="AV5" s="21">
        <f t="shared" si="1"/>
        <v>45982</v>
      </c>
      <c r="AW5" s="21">
        <f t="shared" si="1"/>
        <v>45983</v>
      </c>
      <c r="AX5" s="22">
        <f t="shared" si="1"/>
        <v>45984</v>
      </c>
      <c r="AY5" s="20">
        <f t="shared" si="1"/>
        <v>45985</v>
      </c>
      <c r="AZ5" s="21">
        <f t="shared" si="1"/>
        <v>45986</v>
      </c>
      <c r="BA5" s="21">
        <f t="shared" si="1"/>
        <v>45987</v>
      </c>
      <c r="BB5" s="21">
        <f t="shared" si="1"/>
        <v>45988</v>
      </c>
      <c r="BC5" s="21">
        <f t="shared" si="1"/>
        <v>45989</v>
      </c>
      <c r="BD5" s="21">
        <f t="shared" si="1"/>
        <v>45990</v>
      </c>
      <c r="BE5" s="22">
        <f t="shared" si="1"/>
        <v>45991</v>
      </c>
      <c r="BF5" s="23"/>
      <c r="BL5" s="24"/>
    </row>
    <row r="6" ht="29.25" customHeight="1">
      <c r="A6" s="25"/>
      <c r="B6" s="26" t="s">
        <v>6</v>
      </c>
      <c r="C6" s="27" t="s">
        <v>7</v>
      </c>
      <c r="D6" s="27" t="s">
        <v>8</v>
      </c>
      <c r="E6" s="27" t="s">
        <v>9</v>
      </c>
      <c r="F6" s="27" t="s">
        <v>10</v>
      </c>
      <c r="G6" s="27"/>
      <c r="H6" s="27" t="s">
        <v>11</v>
      </c>
      <c r="I6" s="28" t="str">
        <f t="shared" ref="I6:BE6" si="2">LEFT(TEXT(I5,"ddd"),1)</f>
        <v>M</v>
      </c>
      <c r="J6" s="28" t="str">
        <f t="shared" si="2"/>
        <v>T</v>
      </c>
      <c r="K6" s="28" t="str">
        <f t="shared" si="2"/>
        <v>W</v>
      </c>
      <c r="L6" s="28" t="str">
        <f t="shared" si="2"/>
        <v>T</v>
      </c>
      <c r="M6" s="28" t="str">
        <f t="shared" si="2"/>
        <v>F</v>
      </c>
      <c r="N6" s="28" t="str">
        <f t="shared" si="2"/>
        <v>S</v>
      </c>
      <c r="O6" s="28" t="str">
        <f t="shared" si="2"/>
        <v>S</v>
      </c>
      <c r="P6" s="28" t="str">
        <f t="shared" si="2"/>
        <v>M</v>
      </c>
      <c r="Q6" s="28" t="str">
        <f t="shared" si="2"/>
        <v>T</v>
      </c>
      <c r="R6" s="28" t="str">
        <f t="shared" si="2"/>
        <v>W</v>
      </c>
      <c r="S6" s="28" t="str">
        <f t="shared" si="2"/>
        <v>T</v>
      </c>
      <c r="T6" s="28" t="str">
        <f t="shared" si="2"/>
        <v>F</v>
      </c>
      <c r="U6" s="28" t="str">
        <f t="shared" si="2"/>
        <v>S</v>
      </c>
      <c r="V6" s="28" t="str">
        <f t="shared" si="2"/>
        <v>S</v>
      </c>
      <c r="W6" s="28" t="str">
        <f t="shared" si="2"/>
        <v>M</v>
      </c>
      <c r="X6" s="28" t="str">
        <f t="shared" si="2"/>
        <v>T</v>
      </c>
      <c r="Y6" s="28" t="str">
        <f t="shared" si="2"/>
        <v>W</v>
      </c>
      <c r="Z6" s="28" t="str">
        <f t="shared" si="2"/>
        <v>T</v>
      </c>
      <c r="AA6" s="28" t="str">
        <f t="shared" si="2"/>
        <v>F</v>
      </c>
      <c r="AB6" s="28" t="str">
        <f t="shared" si="2"/>
        <v>S</v>
      </c>
      <c r="AC6" s="28" t="str">
        <f t="shared" si="2"/>
        <v>S</v>
      </c>
      <c r="AD6" s="28" t="str">
        <f t="shared" si="2"/>
        <v>M</v>
      </c>
      <c r="AE6" s="28" t="str">
        <f t="shared" si="2"/>
        <v>T</v>
      </c>
      <c r="AF6" s="28" t="str">
        <f t="shared" si="2"/>
        <v>W</v>
      </c>
      <c r="AG6" s="28" t="str">
        <f t="shared" si="2"/>
        <v>T</v>
      </c>
      <c r="AH6" s="28" t="str">
        <f t="shared" si="2"/>
        <v>F</v>
      </c>
      <c r="AI6" s="28" t="str">
        <f t="shared" si="2"/>
        <v>S</v>
      </c>
      <c r="AJ6" s="28" t="str">
        <f t="shared" si="2"/>
        <v>S</v>
      </c>
      <c r="AK6" s="28" t="str">
        <f t="shared" si="2"/>
        <v>M</v>
      </c>
      <c r="AL6" s="28" t="str">
        <f t="shared" si="2"/>
        <v>T</v>
      </c>
      <c r="AM6" s="28" t="str">
        <f t="shared" si="2"/>
        <v>W</v>
      </c>
      <c r="AN6" s="28" t="str">
        <f t="shared" si="2"/>
        <v>T</v>
      </c>
      <c r="AO6" s="28" t="str">
        <f t="shared" si="2"/>
        <v>F</v>
      </c>
      <c r="AP6" s="28" t="str">
        <f t="shared" si="2"/>
        <v>S</v>
      </c>
      <c r="AQ6" s="28" t="str">
        <f t="shared" si="2"/>
        <v>S</v>
      </c>
      <c r="AR6" s="28" t="str">
        <f t="shared" si="2"/>
        <v>M</v>
      </c>
      <c r="AS6" s="28" t="str">
        <f t="shared" si="2"/>
        <v>T</v>
      </c>
      <c r="AT6" s="28" t="str">
        <f t="shared" si="2"/>
        <v>W</v>
      </c>
      <c r="AU6" s="28" t="str">
        <f t="shared" si="2"/>
        <v>T</v>
      </c>
      <c r="AV6" s="28" t="str">
        <f t="shared" si="2"/>
        <v>F</v>
      </c>
      <c r="AW6" s="28" t="str">
        <f t="shared" si="2"/>
        <v>S</v>
      </c>
      <c r="AX6" s="28" t="str">
        <f t="shared" si="2"/>
        <v>S</v>
      </c>
      <c r="AY6" s="28" t="str">
        <f t="shared" si="2"/>
        <v>M</v>
      </c>
      <c r="AZ6" s="28" t="str">
        <f t="shared" si="2"/>
        <v>T</v>
      </c>
      <c r="BA6" s="28" t="str">
        <f t="shared" si="2"/>
        <v>W</v>
      </c>
      <c r="BB6" s="28" t="str">
        <f t="shared" si="2"/>
        <v>T</v>
      </c>
      <c r="BC6" s="28" t="str">
        <f t="shared" si="2"/>
        <v>F</v>
      </c>
      <c r="BD6" s="28" t="str">
        <f t="shared" si="2"/>
        <v>S</v>
      </c>
      <c r="BE6" s="28" t="str">
        <f t="shared" si="2"/>
        <v>S</v>
      </c>
      <c r="BF6" s="29"/>
      <c r="BG6" s="30"/>
      <c r="BH6" s="30"/>
      <c r="BI6" s="30"/>
      <c r="BJ6" s="30"/>
      <c r="BK6" s="30"/>
      <c r="BL6" s="31"/>
    </row>
    <row r="7">
      <c r="A7" s="25"/>
      <c r="B7" s="32"/>
      <c r="C7" s="33"/>
      <c r="D7" s="34"/>
      <c r="E7" s="35"/>
      <c r="F7" s="35"/>
      <c r="G7" s="33"/>
      <c r="H7" s="33" t="str">
        <f>IF(OR(ISBLANK(ProjectSchedule!task_start),ISBLANK(ProjectSchedule!task_end)),"",ProjectSchedule!task_end-ProjectSchedule!task_start+1)</f>
        <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row>
    <row r="8">
      <c r="A8" s="25"/>
      <c r="B8" s="37" t="s">
        <v>12</v>
      </c>
      <c r="C8" s="38"/>
      <c r="D8" s="39"/>
      <c r="E8" s="40"/>
      <c r="F8" s="40"/>
      <c r="G8" s="33"/>
      <c r="H8" s="33" t="str">
        <f>IF(OR(ISBLANK(ProjectSchedule!task_start),ISBLANK(ProjectSchedule!task_end)),"",ProjectSchedule!task_end-ProjectSchedule!task_start+1)</f>
        <v/>
      </c>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row>
    <row r="9">
      <c r="A9" s="25"/>
      <c r="B9" s="41" t="s">
        <v>13</v>
      </c>
      <c r="C9" s="42"/>
      <c r="D9" s="42"/>
      <c r="E9" s="43"/>
      <c r="F9" s="44">
        <v>1.0</v>
      </c>
      <c r="G9" s="33"/>
      <c r="H9" s="33" t="str">
        <f>IF(OR(ISBLANK(ProjectSchedule!task_start),ISBLANK(ProjectSchedule!task_end)),"",ProjectSchedule!task_end-ProjectSchedule!task_start+1)</f>
        <v/>
      </c>
      <c r="I9" s="36"/>
      <c r="J9" s="36"/>
      <c r="K9" s="36"/>
      <c r="L9" s="45"/>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row>
    <row r="10">
      <c r="A10" s="25"/>
      <c r="B10" s="41" t="s">
        <v>14</v>
      </c>
      <c r="C10" s="42"/>
      <c r="D10" s="42"/>
      <c r="E10" s="43"/>
      <c r="F10" s="46">
        <v>1.0</v>
      </c>
      <c r="G10" s="33"/>
      <c r="H10" s="33" t="str">
        <f>IF(OR(ISBLANK(ProjectSchedule!task_start),ISBLANK(ProjectSchedule!task_end)),"",ProjectSchedule!task_end-ProjectSchedule!task_start+1)</f>
        <v/>
      </c>
      <c r="I10" s="36"/>
      <c r="J10" s="36"/>
      <c r="K10" s="36"/>
      <c r="L10" s="45"/>
      <c r="M10" s="36"/>
      <c r="N10" s="36"/>
      <c r="O10" s="36"/>
      <c r="P10" s="36"/>
      <c r="Q10" s="36"/>
      <c r="R10" s="36"/>
      <c r="S10" s="36"/>
      <c r="T10" s="36"/>
      <c r="U10" s="47"/>
      <c r="V10" s="47"/>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c r="A11" s="25"/>
      <c r="B11" s="41" t="s">
        <v>15</v>
      </c>
      <c r="C11" s="42"/>
      <c r="D11" s="42"/>
      <c r="E11" s="43"/>
      <c r="F11" s="46">
        <v>1.0</v>
      </c>
      <c r="G11" s="33"/>
      <c r="H11" s="33" t="str">
        <f>IF(OR(ISBLANK(ProjectSchedule!task_start),ISBLANK(ProjectSchedule!task_end)),"",ProjectSchedule!task_end-ProjectSchedule!task_start+1)</f>
        <v/>
      </c>
      <c r="I11" s="36"/>
      <c r="J11" s="36"/>
      <c r="K11" s="36"/>
      <c r="L11" s="45"/>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row>
    <row r="12">
      <c r="A12" s="25"/>
      <c r="B12" s="41" t="s">
        <v>16</v>
      </c>
      <c r="C12" s="42"/>
      <c r="D12" s="42"/>
      <c r="E12" s="43"/>
      <c r="F12" s="46">
        <v>0.0</v>
      </c>
      <c r="G12" s="33"/>
      <c r="H12" s="33" t="str">
        <f>IF(OR(ISBLANK(ProjectSchedule!task_start),ISBLANK(ProjectSchedule!task_end)),"",ProjectSchedule!task_end-ProjectSchedule!task_start+1)</f>
        <v/>
      </c>
      <c r="I12" s="36"/>
      <c r="J12" s="36"/>
      <c r="K12" s="36"/>
      <c r="L12" s="36"/>
      <c r="M12" s="36"/>
      <c r="N12" s="36"/>
      <c r="O12" s="36"/>
      <c r="P12" s="36"/>
      <c r="Q12" s="45"/>
      <c r="R12" s="36"/>
      <c r="S12" s="36"/>
      <c r="T12" s="36"/>
      <c r="U12" s="36"/>
      <c r="V12" s="36"/>
      <c r="W12" s="36"/>
      <c r="X12" s="36"/>
      <c r="Y12" s="47"/>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row>
    <row r="13">
      <c r="A13" s="25"/>
      <c r="B13" s="41"/>
      <c r="C13" s="42"/>
      <c r="D13" s="46"/>
      <c r="E13" s="43"/>
      <c r="F13" s="43"/>
      <c r="G13" s="33"/>
      <c r="H13" s="33" t="str">
        <f>IF(OR(ISBLANK(ProjectSchedule!task_start),ISBLANK(ProjectSchedule!task_end)),"",ProjectSchedule!task_end-ProjectSchedule!task_start+1)</f>
        <v/>
      </c>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row>
    <row r="14">
      <c r="A14" s="25"/>
      <c r="B14" s="48" t="s">
        <v>17</v>
      </c>
      <c r="C14" s="49"/>
      <c r="D14" s="50"/>
      <c r="E14" s="51"/>
      <c r="F14" s="51"/>
      <c r="G14" s="33"/>
      <c r="H14" s="33" t="str">
        <f>IF(OR(ISBLANK(ProjectSchedule!task_start),ISBLANK(ProjectSchedule!task_end)),"",ProjectSchedule!task_end-ProjectSchedule!task_start+1)</f>
        <v/>
      </c>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row>
    <row r="15">
      <c r="A15" s="25"/>
      <c r="B15" s="52" t="s">
        <v>18</v>
      </c>
      <c r="C15" s="53"/>
      <c r="D15" s="53"/>
      <c r="E15" s="53"/>
      <c r="F15" s="54">
        <v>0.0</v>
      </c>
      <c r="G15" s="33"/>
      <c r="H15" s="33" t="str">
        <f>IF(OR(ISBLANK(ProjectSchedule!task_start),ISBLANK(ProjectSchedule!task_end)),"",ProjectSchedule!task_end-ProjectSchedule!task_start+1)</f>
        <v/>
      </c>
      <c r="I15" s="36"/>
      <c r="J15" s="36"/>
      <c r="K15" s="36"/>
      <c r="L15" s="36"/>
      <c r="M15" s="36"/>
      <c r="N15" s="36"/>
      <c r="O15" s="36"/>
      <c r="P15" s="36"/>
      <c r="Q15" s="45"/>
      <c r="R15" s="36"/>
      <c r="S15" s="45"/>
      <c r="T15" s="36"/>
      <c r="U15" s="36"/>
      <c r="V15" s="36"/>
      <c r="W15" s="36"/>
      <c r="X15" s="45"/>
      <c r="Y15" s="36"/>
      <c r="Z15" s="45"/>
      <c r="AA15" s="36"/>
      <c r="AB15" s="36"/>
      <c r="AC15" s="36"/>
      <c r="AD15" s="36"/>
      <c r="AE15" s="45"/>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row>
    <row r="16">
      <c r="A16" s="25"/>
      <c r="B16" s="52" t="s">
        <v>19</v>
      </c>
      <c r="C16" s="53"/>
      <c r="D16" s="53"/>
      <c r="E16" s="53"/>
      <c r="F16" s="54">
        <v>0.0</v>
      </c>
      <c r="G16" s="33"/>
      <c r="H16" s="33" t="str">
        <f>IF(OR(ISBLANK(ProjectSchedule!task_start),ISBLANK(ProjectSchedule!task_end)),"",ProjectSchedule!task_end-ProjectSchedule!task_start+1)</f>
        <v/>
      </c>
      <c r="I16" s="36"/>
      <c r="J16" s="36"/>
      <c r="K16" s="36"/>
      <c r="L16" s="36"/>
      <c r="M16" s="36"/>
      <c r="N16" s="36"/>
      <c r="O16" s="36"/>
      <c r="P16" s="36"/>
      <c r="Q16" s="45"/>
      <c r="R16" s="36"/>
      <c r="S16" s="45"/>
      <c r="T16" s="36"/>
      <c r="U16" s="47"/>
      <c r="V16" s="47"/>
      <c r="W16" s="36"/>
      <c r="X16" s="45"/>
      <c r="Y16" s="36"/>
      <c r="Z16" s="45"/>
      <c r="AA16" s="36"/>
      <c r="AB16" s="36"/>
      <c r="AC16" s="36"/>
      <c r="AD16" s="36"/>
      <c r="AE16" s="45"/>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row>
    <row r="17">
      <c r="A17" s="25"/>
      <c r="B17" s="55" t="s">
        <v>20</v>
      </c>
      <c r="C17" s="53"/>
      <c r="D17" s="53"/>
      <c r="E17" s="53"/>
      <c r="F17" s="54">
        <v>0.0</v>
      </c>
      <c r="G17" s="33"/>
      <c r="H17" s="33" t="str">
        <f>IF(OR(ISBLANK(ProjectSchedule!task_start),ISBLANK(ProjectSchedule!task_end)),"",ProjectSchedule!task_end-ProjectSchedule!task_start+1)</f>
        <v/>
      </c>
      <c r="I17" s="36"/>
      <c r="J17" s="36"/>
      <c r="K17" s="36"/>
      <c r="L17" s="36"/>
      <c r="M17" s="36"/>
      <c r="N17" s="36"/>
      <c r="O17" s="36"/>
      <c r="P17" s="36"/>
      <c r="Q17" s="36"/>
      <c r="R17" s="36"/>
      <c r="S17" s="45"/>
      <c r="T17" s="36"/>
      <c r="U17" s="36"/>
      <c r="V17" s="36"/>
      <c r="W17" s="36"/>
      <c r="X17" s="45"/>
      <c r="Y17" s="36"/>
      <c r="Z17" s="45"/>
      <c r="AA17" s="36"/>
      <c r="AB17" s="36"/>
      <c r="AC17" s="36"/>
      <c r="AD17" s="36"/>
      <c r="AE17" s="45"/>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row>
    <row r="18">
      <c r="A18" s="25"/>
      <c r="B18" s="52" t="s">
        <v>21</v>
      </c>
      <c r="C18" s="53"/>
      <c r="D18" s="53"/>
      <c r="E18" s="53"/>
      <c r="F18" s="54">
        <v>0.0</v>
      </c>
      <c r="G18" s="33"/>
      <c r="H18" s="33" t="str">
        <f>IF(OR(ISBLANK(ProjectSchedule!task_start),ISBLANK(ProjectSchedule!task_end)),"",ProjectSchedule!task_end-ProjectSchedule!task_start+1)</f>
        <v/>
      </c>
      <c r="I18" s="36"/>
      <c r="J18" s="36"/>
      <c r="K18" s="36"/>
      <c r="L18" s="36"/>
      <c r="M18" s="36"/>
      <c r="N18" s="36"/>
      <c r="O18" s="36"/>
      <c r="P18" s="36"/>
      <c r="Q18" s="36"/>
      <c r="R18" s="36"/>
      <c r="S18" s="45"/>
      <c r="T18" s="36"/>
      <c r="U18" s="36"/>
      <c r="V18" s="36"/>
      <c r="W18" s="36"/>
      <c r="X18" s="45"/>
      <c r="Y18" s="47"/>
      <c r="Z18" s="45"/>
      <c r="AA18" s="36"/>
      <c r="AB18" s="36"/>
      <c r="AC18" s="36"/>
      <c r="AD18" s="36"/>
      <c r="AE18" s="45"/>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row>
    <row r="19">
      <c r="A19" s="25"/>
      <c r="B19" s="52" t="s">
        <v>22</v>
      </c>
      <c r="C19" s="53"/>
      <c r="D19" s="53"/>
      <c r="E19" s="53"/>
      <c r="F19" s="54">
        <v>0.0</v>
      </c>
      <c r="G19" s="33"/>
      <c r="H19" s="33" t="str">
        <f>IF(OR(ISBLANK(ProjectSchedule!task_start),ISBLANK(ProjectSchedule!task_end)),"",ProjectSchedule!task_end-ProjectSchedule!task_start+1)</f>
        <v/>
      </c>
      <c r="I19" s="36"/>
      <c r="J19" s="36"/>
      <c r="K19" s="36"/>
      <c r="L19" s="36"/>
      <c r="M19" s="36"/>
      <c r="N19" s="36"/>
      <c r="O19" s="36"/>
      <c r="P19" s="36"/>
      <c r="Q19" s="36"/>
      <c r="R19" s="36"/>
      <c r="S19" s="45"/>
      <c r="T19" s="36"/>
      <c r="U19" s="36"/>
      <c r="V19" s="36"/>
      <c r="W19" s="36"/>
      <c r="X19" s="45"/>
      <c r="Y19" s="36"/>
      <c r="Z19" s="45"/>
      <c r="AA19" s="36"/>
      <c r="AB19" s="36"/>
      <c r="AC19" s="36"/>
      <c r="AD19" s="36"/>
      <c r="AE19" s="45"/>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row>
    <row r="20">
      <c r="A20" s="25"/>
      <c r="B20" s="56" t="s">
        <v>23</v>
      </c>
      <c r="C20" s="57"/>
      <c r="D20" s="58"/>
      <c r="E20" s="59"/>
      <c r="F20" s="59"/>
      <c r="G20" s="33"/>
      <c r="H20" s="33" t="str">
        <f>IF(OR(ISBLANK(ProjectSchedule!task_start),ISBLANK(ProjectSchedule!task_end)),"",ProjectSchedule!task_end-ProjectSchedule!task_start+1)</f>
        <v/>
      </c>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row>
    <row r="21" ht="15.75" customHeight="1">
      <c r="A21" s="25"/>
      <c r="B21" s="60" t="s">
        <v>24</v>
      </c>
      <c r="C21" s="61"/>
      <c r="D21" s="62"/>
      <c r="E21" s="63"/>
      <c r="F21" s="62">
        <v>0.0</v>
      </c>
      <c r="G21" s="33"/>
      <c r="H21" s="33" t="str">
        <f>IF(OR(ISBLANK(ProjectSchedule!task_start),ISBLANK(ProjectSchedule!task_end)),"",ProjectSchedule!task_end-ProjectSchedule!task_start+1)</f>
        <v/>
      </c>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45"/>
      <c r="AH21" s="36"/>
      <c r="AI21" s="36"/>
      <c r="AJ21" s="36"/>
      <c r="AK21" s="36"/>
      <c r="AL21" s="45"/>
      <c r="AM21" s="36"/>
      <c r="AN21" s="45"/>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row>
    <row r="22" ht="15.75" customHeight="1">
      <c r="A22" s="25"/>
      <c r="B22" s="60" t="s">
        <v>25</v>
      </c>
      <c r="C22" s="61"/>
      <c r="D22" s="62"/>
      <c r="E22" s="63"/>
      <c r="F22" s="62">
        <v>0.0</v>
      </c>
      <c r="G22" s="33"/>
      <c r="H22" s="33" t="str">
        <f>IF(OR(ISBLANK(ProjectSchedule!task_start),ISBLANK(ProjectSchedule!task_end)),"",ProjectSchedule!task_end-ProjectSchedule!task_start+1)</f>
        <v/>
      </c>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45"/>
      <c r="AH22" s="36"/>
      <c r="AI22" s="36"/>
      <c r="AJ22" s="36"/>
      <c r="AK22" s="36"/>
      <c r="AL22" s="45"/>
      <c r="AM22" s="36"/>
      <c r="AN22" s="45"/>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row>
    <row r="23" ht="15.75" customHeight="1">
      <c r="A23" s="25"/>
      <c r="B23" s="60" t="s">
        <v>26</v>
      </c>
      <c r="C23" s="61"/>
      <c r="D23" s="62"/>
      <c r="E23" s="63"/>
      <c r="F23" s="62">
        <v>0.0</v>
      </c>
      <c r="G23" s="33"/>
      <c r="H23" s="33" t="str">
        <f>IF(OR(ISBLANK(ProjectSchedule!task_start),ISBLANK(ProjectSchedule!task_end)),"",ProjectSchedule!task_end-ProjectSchedule!task_start+1)</f>
        <v/>
      </c>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45"/>
      <c r="AH23" s="36"/>
      <c r="AI23" s="36"/>
      <c r="AJ23" s="36"/>
      <c r="AK23" s="36"/>
      <c r="AL23" s="45"/>
      <c r="AM23" s="36"/>
      <c r="AN23" s="45"/>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row>
    <row r="24" ht="15.75" customHeight="1">
      <c r="A24" s="25"/>
      <c r="B24" s="60" t="s">
        <v>27</v>
      </c>
      <c r="C24" s="61"/>
      <c r="D24" s="62"/>
      <c r="E24" s="63"/>
      <c r="F24" s="62">
        <v>0.0</v>
      </c>
      <c r="G24" s="33"/>
      <c r="H24" s="33" t="str">
        <f>IF(OR(ISBLANK(ProjectSchedule!task_start),ISBLANK(ProjectSchedule!task_end)),"",ProjectSchedule!task_end-ProjectSchedule!task_start+1)</f>
        <v/>
      </c>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45"/>
      <c r="AM24" s="36"/>
      <c r="AN24" s="45"/>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row>
    <row r="25" ht="15.75" customHeight="1">
      <c r="A25" s="25"/>
      <c r="B25" s="60" t="s">
        <v>28</v>
      </c>
      <c r="C25" s="61"/>
      <c r="D25" s="62"/>
      <c r="E25" s="63"/>
      <c r="F25" s="62">
        <v>0.0</v>
      </c>
      <c r="G25" s="33"/>
      <c r="H25" s="33" t="str">
        <f>IF(OR(ISBLANK(ProjectSchedule!task_start),ISBLANK(ProjectSchedule!task_end)),"",ProjectSchedule!task_end-ProjectSchedule!task_start+1)</f>
        <v/>
      </c>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45"/>
      <c r="AM25" s="36"/>
      <c r="AN25" s="45"/>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row>
    <row r="26" ht="15.75" customHeight="1">
      <c r="A26" s="25"/>
      <c r="B26" s="64" t="s">
        <v>29</v>
      </c>
      <c r="C26" s="65"/>
      <c r="D26" s="66"/>
      <c r="E26" s="67"/>
      <c r="F26" s="67"/>
      <c r="G26" s="33"/>
      <c r="H26" s="33" t="str">
        <f>IF(OR(ISBLANK(ProjectSchedule!task_start),ISBLANK(ProjectSchedule!task_end)),"",ProjectSchedule!task_end-ProjectSchedule!task_start+1)</f>
        <v/>
      </c>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row>
    <row r="27" ht="15.75" customHeight="1">
      <c r="A27" s="25"/>
      <c r="B27" s="68" t="s">
        <v>30</v>
      </c>
      <c r="C27" s="69"/>
      <c r="D27" s="70"/>
      <c r="E27" s="71"/>
      <c r="F27" s="70">
        <v>0.0</v>
      </c>
      <c r="G27" s="33"/>
      <c r="H27" s="33" t="str">
        <f>IF(OR(ISBLANK(ProjectSchedule!task_start),ISBLANK(ProjectSchedule!task_end)),"",ProjectSchedule!task_end-ProjectSchedule!task_start+1)</f>
        <v/>
      </c>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72"/>
      <c r="AT27" s="36"/>
      <c r="AU27" s="72"/>
      <c r="AV27" s="36"/>
      <c r="AW27" s="36"/>
      <c r="AX27" s="36"/>
      <c r="AY27" s="36"/>
      <c r="AZ27" s="36"/>
      <c r="BA27" s="36"/>
      <c r="BB27" s="36"/>
      <c r="BC27" s="36"/>
      <c r="BD27" s="36"/>
      <c r="BE27" s="36"/>
      <c r="BF27" s="36"/>
      <c r="BG27" s="36"/>
      <c r="BH27" s="36"/>
      <c r="BI27" s="36"/>
      <c r="BJ27" s="36"/>
      <c r="BK27" s="36"/>
      <c r="BL27" s="36"/>
    </row>
    <row r="28" ht="15.75" customHeight="1">
      <c r="A28" s="25"/>
      <c r="B28" s="68" t="s">
        <v>31</v>
      </c>
      <c r="C28" s="69"/>
      <c r="D28" s="70"/>
      <c r="E28" s="71"/>
      <c r="F28" s="70">
        <v>0.0</v>
      </c>
      <c r="G28" s="33"/>
      <c r="H28" s="33" t="str">
        <f>IF(OR(ISBLANK(ProjectSchedule!task_start),ISBLANK(ProjectSchedule!task_end)),"",ProjectSchedule!task_end-ProjectSchedule!task_start+1)</f>
        <v/>
      </c>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72"/>
      <c r="AT28" s="36"/>
      <c r="AU28" s="72"/>
      <c r="AV28" s="36"/>
      <c r="AW28" s="36"/>
      <c r="AX28" s="36"/>
      <c r="AY28" s="36"/>
      <c r="AZ28" s="36"/>
      <c r="BA28" s="36"/>
      <c r="BB28" s="36"/>
      <c r="BC28" s="36"/>
      <c r="BD28" s="36"/>
      <c r="BE28" s="36"/>
      <c r="BF28" s="36"/>
      <c r="BG28" s="36"/>
      <c r="BH28" s="36"/>
      <c r="BI28" s="36"/>
      <c r="BJ28" s="36"/>
      <c r="BK28" s="36"/>
      <c r="BL28" s="36"/>
    </row>
    <row r="29" ht="15.75" customHeight="1">
      <c r="A29" s="25"/>
      <c r="B29" s="68" t="s">
        <v>32</v>
      </c>
      <c r="C29" s="69"/>
      <c r="D29" s="70"/>
      <c r="E29" s="71"/>
      <c r="F29" s="70">
        <v>0.0</v>
      </c>
      <c r="G29" s="33"/>
      <c r="H29" s="33" t="str">
        <f>IF(OR(ISBLANK(ProjectSchedule!task_start),ISBLANK(ProjectSchedule!task_end)),"",ProjectSchedule!task_end-ProjectSchedule!task_start+1)</f>
        <v/>
      </c>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72"/>
      <c r="AT29" s="36"/>
      <c r="AU29" s="72"/>
      <c r="AV29" s="36"/>
      <c r="AW29" s="36"/>
      <c r="AX29" s="36"/>
      <c r="AY29" s="36"/>
      <c r="AZ29" s="36"/>
      <c r="BA29" s="36"/>
      <c r="BB29" s="36"/>
      <c r="BC29" s="36"/>
      <c r="BD29" s="36"/>
      <c r="BE29" s="36"/>
      <c r="BF29" s="36"/>
      <c r="BG29" s="36"/>
      <c r="BH29" s="36"/>
      <c r="BI29" s="36"/>
      <c r="BJ29" s="36"/>
      <c r="BK29" s="36"/>
      <c r="BL29" s="36"/>
    </row>
    <row r="30" ht="15.75" customHeight="1">
      <c r="A30" s="25"/>
      <c r="B30" s="68" t="s">
        <v>33</v>
      </c>
      <c r="C30" s="69"/>
      <c r="D30" s="70"/>
      <c r="E30" s="71"/>
      <c r="F30" s="70">
        <v>0.0</v>
      </c>
      <c r="G30" s="33"/>
      <c r="H30" s="33" t="str">
        <f>IF(OR(ISBLANK(ProjectSchedule!task_start),ISBLANK(ProjectSchedule!task_end)),"",ProjectSchedule!task_end-ProjectSchedule!task_start+1)</f>
        <v/>
      </c>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72"/>
      <c r="BA30" s="36"/>
      <c r="BB30" s="72"/>
      <c r="BC30" s="36"/>
      <c r="BD30" s="36"/>
      <c r="BE30" s="36"/>
      <c r="BF30" s="36"/>
      <c r="BG30" s="36"/>
      <c r="BH30" s="36"/>
      <c r="BI30" s="36"/>
      <c r="BJ30" s="36"/>
      <c r="BK30" s="36"/>
      <c r="BL30" s="36"/>
    </row>
    <row r="31" ht="15.75" customHeight="1">
      <c r="A31" s="25"/>
      <c r="B31" s="68"/>
      <c r="C31" s="69"/>
      <c r="D31" s="70"/>
      <c r="E31" s="71"/>
      <c r="F31" s="71"/>
      <c r="G31" s="33"/>
      <c r="H31" s="33" t="str">
        <f>IF(OR(ISBLANK(ProjectSchedule!task_start),ISBLANK(ProjectSchedule!task_end)),"",ProjectSchedule!task_end-ProjectSchedule!task_start+1)</f>
        <v/>
      </c>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row>
    <row r="32" ht="15.75" customHeight="1">
      <c r="A32" s="25"/>
      <c r="B32" s="73"/>
      <c r="C32" s="73"/>
      <c r="D32" s="73"/>
      <c r="E32" s="73"/>
      <c r="F32" s="73"/>
      <c r="G32" s="33"/>
      <c r="H32" s="33" t="str">
        <f>IF(OR(ISBLANK(ProjectSchedule!task_start),ISBLANK(ProjectSchedule!task_end)),"",ProjectSchedule!task_end-ProjectSchedule!task_start+1)</f>
        <v/>
      </c>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row>
    <row r="33" ht="15.75" customHeight="1">
      <c r="A33" s="25"/>
      <c r="B33" s="32"/>
      <c r="C33" s="33"/>
      <c r="D33" s="34"/>
      <c r="E33" s="35"/>
      <c r="F33" s="35"/>
      <c r="G33" s="33"/>
      <c r="H33" s="33" t="str">
        <f>IF(OR(ISBLANK(ProjectSchedule!task_start),ISBLANK(ProjectSchedule!task_end)),"",ProjectSchedule!task_end-ProjectSchedule!task_start+1)</f>
        <v/>
      </c>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row>
    <row r="34" ht="15.75" customHeight="1">
      <c r="A34" s="25"/>
      <c r="B34" s="32"/>
      <c r="C34" s="33"/>
      <c r="D34" s="34"/>
      <c r="E34" s="35"/>
      <c r="F34" s="35"/>
      <c r="G34" s="33"/>
      <c r="H34" s="33" t="str">
        <f>IF(OR(ISBLANK(ProjectSchedule!task_start),ISBLANK(ProjectSchedule!task_end)),"",ProjectSchedule!task_end-ProjectSchedule!task_start+1)</f>
        <v/>
      </c>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row>
    <row r="35" ht="15.75" customHeight="1">
      <c r="A35" s="25"/>
      <c r="B35" s="32"/>
      <c r="C35" s="33"/>
      <c r="D35" s="34"/>
      <c r="E35" s="35"/>
      <c r="F35" s="35"/>
      <c r="G35" s="33"/>
      <c r="H35" s="33" t="str">
        <f>IF(OR(ISBLANK(ProjectSchedule!task_start),ISBLANK(ProjectSchedule!task_end)),"",ProjectSchedule!task_end-ProjectSchedule!task_start+1)</f>
        <v/>
      </c>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row>
    <row r="36" ht="15.75" customHeight="1">
      <c r="A36" s="25"/>
      <c r="B36" s="32"/>
      <c r="C36" s="33"/>
      <c r="D36" s="34"/>
      <c r="E36" s="35"/>
      <c r="F36" s="35"/>
      <c r="G36" s="33"/>
      <c r="H36" s="33" t="str">
        <f>IF(OR(ISBLANK(ProjectSchedule!task_start),ISBLANK(ProjectSchedule!task_end)),"",ProjectSchedule!task_end-ProjectSchedule!task_start+1)</f>
        <v/>
      </c>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row>
    <row r="37" ht="15.75" customHeight="1">
      <c r="A37" s="25"/>
      <c r="B37" s="32"/>
      <c r="C37" s="33"/>
      <c r="D37" s="34"/>
      <c r="E37" s="35"/>
      <c r="F37" s="35"/>
      <c r="G37" s="33"/>
      <c r="H37" s="33" t="str">
        <f>IF(OR(ISBLANK(ProjectSchedule!task_start),ISBLANK(ProjectSchedule!task_end)),"",ProjectSchedule!task_end-ProjectSchedule!task_start+1)</f>
        <v/>
      </c>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row>
    <row r="38" ht="15.75" customHeight="1">
      <c r="A38" s="25"/>
      <c r="B38" s="32"/>
      <c r="C38" s="33"/>
      <c r="D38" s="34"/>
      <c r="E38" s="35"/>
      <c r="F38" s="35"/>
      <c r="G38" s="33"/>
      <c r="H38" s="33" t="str">
        <f>IF(OR(ISBLANK(ProjectSchedule!task_start),ISBLANK(ProjectSchedule!task_end)),"",ProjectSchedule!task_end-ProjectSchedule!task_start+1)</f>
        <v/>
      </c>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row>
    <row r="39" ht="15.75" customHeight="1">
      <c r="A39" s="25"/>
      <c r="B39" s="32"/>
      <c r="C39" s="33"/>
      <c r="D39" s="34"/>
      <c r="E39" s="35"/>
      <c r="F39" s="35"/>
      <c r="G39" s="33"/>
      <c r="H39" s="33" t="str">
        <f>IF(OR(ISBLANK(ProjectSchedule!task_start),ISBLANK(ProjectSchedule!task_end)),"",ProjectSchedule!task_end-ProjectSchedule!task_start+1)</f>
        <v/>
      </c>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row>
    <row r="40" ht="15.75" customHeight="1">
      <c r="A40" s="25"/>
      <c r="B40" s="32"/>
      <c r="C40" s="33"/>
      <c r="D40" s="34"/>
      <c r="E40" s="35"/>
      <c r="F40" s="35"/>
      <c r="G40" s="33"/>
      <c r="H40" s="33" t="str">
        <f>IF(OR(ISBLANK(ProjectSchedule!task_start),ISBLANK(ProjectSchedule!task_end)),"",ProjectSchedule!task_end-ProjectSchedule!task_start+1)</f>
        <v/>
      </c>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row>
    <row r="41" ht="15.75" customHeight="1">
      <c r="A41" s="25"/>
      <c r="B41" s="74" t="str">
        <f>IF(OR(ISBLANK(ProjectSchedule!task_start),ISBLANK(ProjectSchedule!task_end)),"",ProjectSchedule!task_end-ProjectSchedule!task_start+1)</f>
        <v/>
      </c>
      <c r="C41" s="74" t="str">
        <f>IF(OR(ISBLANK(ProjectSchedule!task_start),ISBLANK(ProjectSchedule!task_end)),"",ProjectSchedule!task_end-ProjectSchedule!task_start+1)</f>
        <v/>
      </c>
      <c r="D41" s="74" t="str">
        <f>IF(OR(ISBLANK(ProjectSchedule!task_start),ISBLANK(ProjectSchedule!task_end)),"",ProjectSchedule!task_end-ProjectSchedule!task_start+1)</f>
        <v/>
      </c>
      <c r="E41" s="74" t="str">
        <f>IF(OR(ISBLANK(ProjectSchedule!task_start),ISBLANK(ProjectSchedule!task_end)),"",ProjectSchedule!task_end-ProjectSchedule!task_start+1)</f>
        <v/>
      </c>
      <c r="F41" s="74" t="str">
        <f>IF(OR(ISBLANK(ProjectSchedule!task_start),ISBLANK(ProjectSchedule!task_end)),"",ProjectSchedule!task_end-ProjectSchedule!task_start+1)</f>
        <v/>
      </c>
      <c r="G41" s="74" t="str">
        <f>IF(OR(ISBLANK(ProjectSchedule!task_start),ISBLANK(ProjectSchedule!task_end)),"",ProjectSchedule!task_end-ProjectSchedule!task_start+1)</f>
        <v/>
      </c>
      <c r="H41" s="74" t="str">
        <f>IF(OR(ISBLANK(ProjectSchedule!task_start),ISBLANK(ProjectSchedule!task_end)),"",ProjectSchedule!task_end-ProjectSchedule!task_start+1)</f>
        <v/>
      </c>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row>
    <row r="42" ht="15.75" customHeight="1">
      <c r="A42" s="9"/>
      <c r="B42" s="74" t="str">
        <f>IF(OR(ISBLANK(ProjectSchedule!task_start),ISBLANK(ProjectSchedule!task_end)),"",ProjectSchedule!task_end-ProjectSchedule!task_start+1)</f>
        <v/>
      </c>
      <c r="C42" s="74" t="str">
        <f>IF(OR(ISBLANK(ProjectSchedule!task_start),ISBLANK(ProjectSchedule!task_end)),"",ProjectSchedule!task_end-ProjectSchedule!task_start+1)</f>
        <v/>
      </c>
      <c r="D42" s="74" t="str">
        <f>IF(OR(ISBLANK(ProjectSchedule!task_start),ISBLANK(ProjectSchedule!task_end)),"",ProjectSchedule!task_end-ProjectSchedule!task_start+1)</f>
        <v/>
      </c>
      <c r="E42" s="74" t="str">
        <f>IF(OR(ISBLANK(ProjectSchedule!task_start),ISBLANK(ProjectSchedule!task_end)),"",ProjectSchedule!task_end-ProjectSchedule!task_start+1)</f>
        <v/>
      </c>
      <c r="F42" s="74" t="str">
        <f>IF(OR(ISBLANK(ProjectSchedule!task_start),ISBLANK(ProjectSchedule!task_end)),"",ProjectSchedule!task_end-ProjectSchedule!task_start+1)</f>
        <v/>
      </c>
      <c r="G42" s="74" t="str">
        <f>IF(OR(ISBLANK(ProjectSchedule!task_start),ISBLANK(ProjectSchedule!task_end)),"",ProjectSchedule!task_end-ProjectSchedule!task_start+1)</f>
        <v/>
      </c>
      <c r="H42" s="74" t="str">
        <f>IF(OR(ISBLANK(ProjectSchedule!task_start),ISBLANK(ProjectSchedule!task_end)),"",ProjectSchedule!task_end-ProjectSchedule!task_start+1)</f>
        <v/>
      </c>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row>
    <row r="43" ht="15.75" customHeight="1">
      <c r="B43" s="76" t="s">
        <v>34</v>
      </c>
      <c r="C43" s="77"/>
      <c r="E43" s="19"/>
      <c r="F43" s="78">
        <v>43113.0</v>
      </c>
    </row>
    <row r="44" ht="15.75" customHeight="1">
      <c r="B44" s="79" t="s">
        <v>35</v>
      </c>
      <c r="C44" s="80"/>
      <c r="E44" s="19"/>
    </row>
    <row r="45" ht="15.75" customHeight="1">
      <c r="B45" s="81" t="s">
        <v>36</v>
      </c>
      <c r="E45" s="19"/>
    </row>
    <row r="46" ht="15.75" customHeight="1">
      <c r="E46" s="19"/>
    </row>
    <row r="47" ht="15.75" customHeight="1">
      <c r="E47" s="19"/>
    </row>
    <row r="48" ht="15.75" customHeight="1">
      <c r="E48" s="19"/>
    </row>
    <row r="49" ht="15.75" customHeight="1">
      <c r="E49" s="19"/>
    </row>
    <row r="50" ht="15.75" customHeight="1">
      <c r="E50" s="19"/>
    </row>
    <row r="51" ht="15.75" customHeight="1">
      <c r="E51" s="19"/>
    </row>
    <row r="52" ht="15.75" customHeight="1">
      <c r="E52" s="19"/>
    </row>
    <row r="53" ht="15.75" customHeight="1">
      <c r="E53" s="19"/>
    </row>
    <row r="54" ht="15.75" customHeight="1">
      <c r="E54" s="19"/>
    </row>
    <row r="55" ht="15.75" customHeight="1">
      <c r="E55" s="19"/>
    </row>
    <row r="56" ht="15.75" customHeight="1">
      <c r="E56" s="19"/>
    </row>
    <row r="57" ht="15.75" customHeight="1">
      <c r="E57" s="19"/>
    </row>
    <row r="58" ht="15.75" customHeight="1">
      <c r="E58" s="19"/>
    </row>
    <row r="59" ht="15.75" customHeight="1">
      <c r="E59" s="19"/>
    </row>
    <row r="60" ht="15.75" customHeight="1">
      <c r="E60" s="19"/>
    </row>
    <row r="61" ht="15.75" customHeight="1">
      <c r="E61" s="19"/>
    </row>
    <row r="62" ht="15.75" customHeight="1">
      <c r="E62" s="19"/>
    </row>
    <row r="63" ht="15.75" customHeight="1">
      <c r="E63" s="19"/>
    </row>
    <row r="64" ht="15.75" customHeight="1">
      <c r="E64" s="19"/>
    </row>
    <row r="65" ht="15.75" customHeight="1">
      <c r="E65" s="19"/>
    </row>
    <row r="66" ht="15.75" customHeight="1">
      <c r="E66" s="19"/>
    </row>
    <row r="67" ht="15.75" customHeight="1">
      <c r="E67" s="19"/>
    </row>
    <row r="68" ht="15.75" customHeight="1">
      <c r="E68" s="19"/>
    </row>
    <row r="69" ht="15.75" customHeight="1">
      <c r="E69" s="19"/>
    </row>
    <row r="70" ht="15.75" customHeight="1">
      <c r="E70" s="19"/>
    </row>
    <row r="71" ht="15.75" customHeight="1">
      <c r="E71" s="19"/>
    </row>
    <row r="72" ht="15.75" customHeight="1">
      <c r="E72" s="19"/>
    </row>
    <row r="73" ht="15.75" customHeight="1">
      <c r="E73" s="19"/>
    </row>
    <row r="74" ht="15.75" customHeight="1">
      <c r="E74" s="19"/>
    </row>
    <row r="75" ht="15.75" customHeight="1">
      <c r="E75" s="19"/>
    </row>
    <row r="76" ht="15.75" customHeight="1">
      <c r="E76" s="19"/>
    </row>
    <row r="77" ht="15.75" customHeight="1">
      <c r="E77" s="19"/>
    </row>
    <row r="78" ht="15.75" customHeight="1">
      <c r="E78" s="19"/>
    </row>
    <row r="79" ht="15.75" customHeight="1">
      <c r="E79" s="19"/>
    </row>
    <row r="80" ht="15.75" customHeight="1">
      <c r="E80" s="19"/>
    </row>
    <row r="81" ht="15.75" customHeight="1">
      <c r="E81" s="19"/>
    </row>
    <row r="82" ht="15.75" customHeight="1">
      <c r="E82" s="19"/>
    </row>
    <row r="83" ht="15.75" customHeight="1">
      <c r="E83" s="19"/>
    </row>
    <row r="84" ht="15.75" customHeight="1">
      <c r="E84" s="19"/>
    </row>
    <row r="85" ht="15.75" customHeight="1">
      <c r="E85" s="19"/>
    </row>
    <row r="86" ht="15.75" customHeight="1">
      <c r="E86" s="19"/>
    </row>
    <row r="87" ht="15.75" customHeight="1">
      <c r="E87" s="19"/>
    </row>
    <row r="88" ht="15.75" customHeight="1">
      <c r="E88" s="19"/>
    </row>
    <row r="89" ht="15.75" customHeight="1">
      <c r="E89" s="19"/>
    </row>
    <row r="90" ht="15.75" customHeight="1">
      <c r="E90" s="19"/>
    </row>
    <row r="91" ht="15.75" customHeight="1">
      <c r="E91" s="19"/>
    </row>
    <row r="92" ht="15.75" customHeight="1">
      <c r="E92" s="19"/>
    </row>
    <row r="93" ht="15.75" customHeight="1">
      <c r="E93" s="19"/>
    </row>
    <row r="94" ht="15.75" customHeight="1">
      <c r="E94" s="19"/>
    </row>
    <row r="95" ht="15.75" customHeight="1">
      <c r="E95" s="19"/>
    </row>
    <row r="96" ht="15.75" customHeight="1">
      <c r="E96" s="19"/>
    </row>
    <row r="97" ht="15.75" customHeight="1">
      <c r="E97" s="19"/>
    </row>
    <row r="98" ht="15.75" customHeight="1">
      <c r="E98" s="19"/>
    </row>
    <row r="99" ht="15.75" customHeight="1">
      <c r="E99" s="19"/>
    </row>
    <row r="100" ht="15.75" customHeight="1">
      <c r="E100" s="19"/>
    </row>
    <row r="101" ht="15.75" customHeight="1">
      <c r="E101" s="19"/>
    </row>
    <row r="102" ht="15.75" customHeight="1">
      <c r="E102" s="19"/>
    </row>
    <row r="103" ht="15.75" customHeight="1">
      <c r="E103" s="19"/>
    </row>
    <row r="104" ht="15.75" customHeight="1">
      <c r="E104" s="19"/>
    </row>
    <row r="105" ht="15.75" customHeight="1">
      <c r="E105" s="19"/>
    </row>
    <row r="106" ht="15.75" customHeight="1">
      <c r="E106" s="19"/>
    </row>
    <row r="107" ht="15.75" customHeight="1">
      <c r="E107" s="19"/>
    </row>
    <row r="108" ht="15.75" customHeight="1">
      <c r="E108" s="19"/>
    </row>
    <row r="109" ht="15.75" customHeight="1">
      <c r="E109" s="19"/>
    </row>
    <row r="110" ht="15.75" customHeight="1">
      <c r="E110" s="19"/>
    </row>
    <row r="111" ht="15.75" customHeight="1">
      <c r="E111" s="19"/>
    </row>
    <row r="112" ht="15.75" customHeight="1">
      <c r="E112" s="19"/>
    </row>
    <row r="113" ht="15.75" customHeight="1">
      <c r="E113" s="19"/>
    </row>
    <row r="114" ht="15.75" customHeight="1">
      <c r="E114" s="19"/>
    </row>
    <row r="115" ht="15.75" customHeight="1">
      <c r="E115" s="19"/>
    </row>
    <row r="116" ht="15.75" customHeight="1">
      <c r="E116" s="19"/>
    </row>
    <row r="117" ht="15.75" customHeight="1">
      <c r="E117" s="19"/>
    </row>
    <row r="118" ht="15.75" customHeight="1">
      <c r="E118" s="19"/>
    </row>
    <row r="119" ht="15.75" customHeight="1">
      <c r="E119" s="19"/>
    </row>
    <row r="120" ht="15.75" customHeight="1">
      <c r="E120" s="19"/>
    </row>
    <row r="121" ht="15.75" customHeight="1">
      <c r="E121" s="19"/>
    </row>
    <row r="122" ht="15.75" customHeight="1">
      <c r="E122" s="19"/>
    </row>
    <row r="123" ht="15.75" customHeight="1">
      <c r="E123" s="19"/>
    </row>
    <row r="124" ht="15.75" customHeight="1">
      <c r="E124" s="19"/>
    </row>
    <row r="125" ht="15.75" customHeight="1">
      <c r="E125" s="19"/>
    </row>
    <row r="126" ht="15.75" customHeight="1">
      <c r="E126" s="19"/>
    </row>
    <row r="127" ht="15.75" customHeight="1">
      <c r="E127" s="19"/>
    </row>
    <row r="128" ht="15.75" customHeight="1">
      <c r="E128" s="19"/>
    </row>
    <row r="129" ht="15.75" customHeight="1">
      <c r="E129" s="19"/>
    </row>
    <row r="130" ht="15.75" customHeight="1">
      <c r="E130" s="19"/>
    </row>
    <row r="131" ht="15.75" customHeight="1">
      <c r="E131" s="19"/>
    </row>
    <row r="132" ht="15.75" customHeight="1">
      <c r="E132" s="19"/>
    </row>
    <row r="133" ht="15.75" customHeight="1">
      <c r="E133" s="19"/>
    </row>
    <row r="134" ht="15.75" customHeight="1">
      <c r="E134" s="19"/>
    </row>
    <row r="135" ht="15.75" customHeight="1">
      <c r="E135" s="19"/>
    </row>
    <row r="136" ht="15.75" customHeight="1">
      <c r="E136" s="19"/>
    </row>
    <row r="137" ht="15.75" customHeight="1">
      <c r="E137" s="19"/>
    </row>
    <row r="138" ht="15.75" customHeight="1">
      <c r="E138" s="19"/>
    </row>
    <row r="139" ht="15.75" customHeight="1">
      <c r="E139" s="19"/>
    </row>
    <row r="140" ht="15.75" customHeight="1">
      <c r="E140" s="19"/>
    </row>
    <row r="141" ht="15.75" customHeight="1">
      <c r="E141" s="19"/>
    </row>
    <row r="142" ht="15.75" customHeight="1">
      <c r="E142" s="19"/>
    </row>
    <row r="143" ht="15.75" customHeight="1">
      <c r="E143" s="19"/>
    </row>
    <row r="144" ht="15.75" customHeight="1">
      <c r="E144" s="19"/>
    </row>
    <row r="145" ht="15.75" customHeight="1">
      <c r="E145" s="19"/>
    </row>
    <row r="146" ht="15.75" customHeight="1">
      <c r="E146" s="19"/>
    </row>
    <row r="147" ht="15.75" customHeight="1">
      <c r="E147" s="19"/>
    </row>
    <row r="148" ht="15.75" customHeight="1">
      <c r="E148" s="19"/>
    </row>
    <row r="149" ht="15.75" customHeight="1">
      <c r="E149" s="19"/>
    </row>
    <row r="150" ht="15.75" customHeight="1">
      <c r="E150" s="19"/>
    </row>
    <row r="151" ht="15.75" customHeight="1">
      <c r="E151" s="19"/>
    </row>
    <row r="152" ht="15.75" customHeight="1">
      <c r="E152" s="19"/>
    </row>
    <row r="153" ht="15.75" customHeight="1">
      <c r="E153" s="19"/>
    </row>
    <row r="154" ht="15.75" customHeight="1">
      <c r="E154" s="19"/>
    </row>
    <row r="155" ht="15.75" customHeight="1">
      <c r="E155" s="19"/>
    </row>
    <row r="156" ht="15.75" customHeight="1">
      <c r="E156" s="19"/>
    </row>
    <row r="157" ht="15.75" customHeight="1">
      <c r="E157" s="19"/>
    </row>
    <row r="158" ht="15.75" customHeight="1">
      <c r="E158" s="19"/>
    </row>
    <row r="159" ht="15.75" customHeight="1">
      <c r="E159" s="19"/>
    </row>
    <row r="160" ht="15.75" customHeight="1">
      <c r="E160" s="19"/>
    </row>
    <row r="161" ht="15.75" customHeight="1">
      <c r="E161" s="19"/>
    </row>
    <row r="162" ht="15.75" customHeight="1">
      <c r="E162" s="19"/>
    </row>
    <row r="163" ht="15.75" customHeight="1">
      <c r="E163" s="19"/>
    </row>
    <row r="164" ht="15.75" customHeight="1">
      <c r="E164" s="19"/>
    </row>
    <row r="165" ht="15.75" customHeight="1">
      <c r="E165" s="19"/>
    </row>
    <row r="166" ht="15.75" customHeight="1">
      <c r="E166" s="19"/>
    </row>
    <row r="167" ht="15.75" customHeight="1">
      <c r="E167" s="19"/>
    </row>
    <row r="168" ht="15.75" customHeight="1">
      <c r="E168" s="19"/>
    </row>
    <row r="169" ht="15.75" customHeight="1">
      <c r="E169" s="19"/>
    </row>
    <row r="170" ht="15.75" customHeight="1">
      <c r="E170" s="19"/>
    </row>
    <row r="171" ht="15.75" customHeight="1">
      <c r="E171" s="19"/>
    </row>
    <row r="172" ht="15.75" customHeight="1">
      <c r="E172" s="19"/>
    </row>
    <row r="173" ht="15.75" customHeight="1">
      <c r="E173" s="19"/>
    </row>
    <row r="174" ht="15.75" customHeight="1">
      <c r="E174" s="19"/>
    </row>
    <row r="175" ht="15.75" customHeight="1">
      <c r="E175" s="19"/>
    </row>
    <row r="176" ht="15.75" customHeight="1">
      <c r="E176" s="19"/>
    </row>
    <row r="177" ht="15.75" customHeight="1">
      <c r="E177" s="19"/>
    </row>
    <row r="178" ht="15.75" customHeight="1">
      <c r="E178" s="19"/>
    </row>
    <row r="179" ht="15.75" customHeight="1">
      <c r="E179" s="19"/>
    </row>
    <row r="180" ht="15.75" customHeight="1">
      <c r="E180" s="19"/>
    </row>
    <row r="181" ht="15.75" customHeight="1">
      <c r="E181" s="19"/>
    </row>
    <row r="182" ht="15.75" customHeight="1">
      <c r="E182" s="19"/>
    </row>
    <row r="183" ht="15.75" customHeight="1">
      <c r="E183" s="19"/>
    </row>
    <row r="184" ht="15.75" customHeight="1">
      <c r="E184" s="19"/>
    </row>
    <row r="185" ht="15.75" customHeight="1">
      <c r="E185" s="19"/>
    </row>
    <row r="186" ht="15.75" customHeight="1">
      <c r="E186" s="19"/>
    </row>
    <row r="187" ht="15.75" customHeight="1">
      <c r="E187" s="19"/>
    </row>
    <row r="188" ht="15.75" customHeight="1">
      <c r="E188" s="19"/>
    </row>
    <row r="189" ht="15.75" customHeight="1">
      <c r="E189" s="19"/>
    </row>
    <row r="190" ht="15.75" customHeight="1">
      <c r="E190" s="19"/>
    </row>
    <row r="191" ht="15.75" customHeight="1">
      <c r="E191" s="19"/>
    </row>
    <row r="192" ht="15.75" customHeight="1">
      <c r="E192" s="19"/>
    </row>
    <row r="193" ht="15.75" customHeight="1">
      <c r="E193" s="19"/>
    </row>
    <row r="194" ht="15.75" customHeight="1">
      <c r="E194" s="19"/>
    </row>
    <row r="195" ht="15.75" customHeight="1">
      <c r="E195" s="19"/>
    </row>
    <row r="196" ht="15.75" customHeight="1">
      <c r="E196" s="19"/>
    </row>
    <row r="197" ht="15.75" customHeight="1">
      <c r="E197" s="19"/>
    </row>
    <row r="198" ht="15.75" customHeight="1">
      <c r="E198" s="19"/>
    </row>
    <row r="199" ht="15.75" customHeight="1">
      <c r="E199" s="19"/>
    </row>
    <row r="200" ht="15.75" customHeight="1">
      <c r="E200" s="19"/>
    </row>
    <row r="201" ht="15.75" customHeight="1">
      <c r="E201" s="19"/>
    </row>
    <row r="202" ht="15.75" customHeight="1">
      <c r="E202" s="19"/>
    </row>
    <row r="203" ht="15.75" customHeight="1">
      <c r="E203" s="19"/>
    </row>
    <row r="204" ht="15.75" customHeight="1">
      <c r="E204" s="19"/>
    </row>
    <row r="205" ht="15.75" customHeight="1">
      <c r="E205" s="19"/>
    </row>
    <row r="206" ht="15.75" customHeight="1">
      <c r="E206" s="19"/>
    </row>
    <row r="207" ht="15.75" customHeight="1">
      <c r="E207" s="19"/>
    </row>
    <row r="208" ht="15.75" customHeight="1">
      <c r="E208" s="19"/>
    </row>
    <row r="209" ht="15.75" customHeight="1">
      <c r="E209" s="19"/>
    </row>
    <row r="210" ht="15.75" customHeight="1">
      <c r="E210" s="19"/>
    </row>
    <row r="211" ht="15.75" customHeight="1">
      <c r="E211" s="19"/>
    </row>
    <row r="212" ht="15.75" customHeight="1">
      <c r="E212" s="19"/>
    </row>
    <row r="213" ht="15.75" customHeight="1">
      <c r="E213" s="19"/>
    </row>
    <row r="214" ht="15.75" customHeight="1">
      <c r="E214" s="19"/>
    </row>
    <row r="215" ht="15.75" customHeight="1">
      <c r="E215" s="19"/>
    </row>
    <row r="216" ht="15.75" customHeight="1">
      <c r="E216" s="19"/>
    </row>
    <row r="217" ht="15.75" customHeight="1">
      <c r="E217" s="19"/>
    </row>
    <row r="218" ht="15.75" customHeight="1">
      <c r="E218" s="19"/>
    </row>
    <row r="219" ht="15.75" customHeight="1">
      <c r="E219" s="19"/>
    </row>
    <row r="220" ht="15.75" customHeight="1">
      <c r="E220" s="19"/>
    </row>
    <row r="221" ht="15.75" customHeight="1">
      <c r="E221" s="19"/>
    </row>
    <row r="222" ht="15.75" customHeight="1">
      <c r="E222" s="19"/>
    </row>
    <row r="223" ht="15.75" customHeight="1">
      <c r="E223" s="19"/>
    </row>
    <row r="224" ht="15.75" customHeight="1">
      <c r="E224" s="19"/>
    </row>
    <row r="225" ht="15.75" customHeight="1">
      <c r="E225" s="19"/>
    </row>
    <row r="226" ht="15.75" customHeight="1">
      <c r="E226" s="19"/>
    </row>
    <row r="227" ht="15.75" customHeight="1">
      <c r="E227" s="19"/>
    </row>
    <row r="228" ht="15.75" customHeight="1">
      <c r="E228" s="19"/>
    </row>
    <row r="229" ht="15.75" customHeight="1">
      <c r="E229" s="19"/>
    </row>
    <row r="230" ht="15.75" customHeight="1">
      <c r="E230" s="19"/>
    </row>
    <row r="231" ht="15.75" customHeight="1">
      <c r="E231" s="19"/>
    </row>
    <row r="232" ht="15.75" customHeight="1">
      <c r="E232" s="19"/>
    </row>
    <row r="233" ht="15.75" customHeight="1">
      <c r="E233" s="19"/>
    </row>
    <row r="234" ht="15.75" customHeight="1">
      <c r="E234" s="19"/>
    </row>
    <row r="235" ht="15.75" customHeight="1">
      <c r="E235" s="19"/>
    </row>
    <row r="236" ht="15.75" customHeight="1">
      <c r="E236" s="19"/>
    </row>
    <row r="237" ht="15.75" customHeight="1">
      <c r="E237" s="19"/>
    </row>
    <row r="238" ht="15.75" customHeight="1">
      <c r="E238" s="19"/>
    </row>
    <row r="239" ht="15.75" customHeight="1">
      <c r="E239" s="19"/>
    </row>
    <row r="240" ht="15.75" customHeight="1">
      <c r="E240" s="19"/>
    </row>
    <row r="241" ht="15.75" customHeight="1">
      <c r="E241" s="19"/>
    </row>
    <row r="242" ht="15.75" customHeight="1">
      <c r="E242" s="19"/>
    </row>
    <row r="243" ht="15.75" customHeight="1">
      <c r="E243" s="19"/>
    </row>
    <row r="244" ht="15.75" customHeight="1">
      <c r="E244" s="19"/>
    </row>
    <row r="245" ht="15.75" customHeight="1">
      <c r="E245" s="19"/>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K4:AQ4"/>
    <mergeCell ref="AR4:AX4"/>
    <mergeCell ref="AY4:BE4"/>
    <mergeCell ref="BF4:BL6"/>
    <mergeCell ref="J1:AA1"/>
    <mergeCell ref="E2:F2"/>
    <mergeCell ref="E3:F3"/>
    <mergeCell ref="I4:O4"/>
    <mergeCell ref="P4:V4"/>
    <mergeCell ref="W4:AC4"/>
    <mergeCell ref="AD4:AJ4"/>
  </mergeCells>
  <dataValidations>
    <dataValidation type="decimal" operator="greaterThanOrEqual" allowBlank="1" showInputMessage="1" prompt="Display Week - Changing this number will scroll the Gantt Chart view." sqref="E4">
      <formula1>1.0</formula1>
    </dataValidation>
  </dataValidations>
  <hyperlinks>
    <hyperlink r:id="rId2" ref="B43"/>
    <hyperlink r:id="rId3" ref="B44"/>
  </hyperlinks>
  <printOptions/>
  <pageMargins bottom="0.5" footer="0.0" header="0.0" left="0.35" right="0.35" top="0.35"/>
  <pageSetup fitToHeight="0"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87.14"/>
    <col customWidth="1" min="3" max="6" width="9.14"/>
    <col customWidth="1" min="7" max="22" width="8.71"/>
  </cols>
  <sheetData>
    <row r="1" ht="46.5" customHeight="1">
      <c r="A1" s="3"/>
      <c r="B1" s="82"/>
      <c r="C1" s="3"/>
      <c r="D1" s="3"/>
      <c r="E1" s="3"/>
      <c r="F1" s="3"/>
      <c r="G1" s="3"/>
      <c r="H1" s="3"/>
      <c r="I1" s="3"/>
      <c r="J1" s="3"/>
      <c r="K1" s="3"/>
      <c r="L1" s="3"/>
      <c r="M1" s="3"/>
      <c r="N1" s="3"/>
      <c r="O1" s="3"/>
      <c r="P1" s="3"/>
      <c r="Q1" s="3"/>
      <c r="R1" s="3"/>
      <c r="S1" s="3"/>
      <c r="T1" s="3"/>
      <c r="U1" s="3"/>
      <c r="V1" s="3"/>
      <c r="W1" s="3"/>
      <c r="X1" s="3"/>
      <c r="Y1" s="3"/>
      <c r="Z1" s="3"/>
    </row>
    <row r="2" ht="12.75" customHeight="1">
      <c r="A2" s="83"/>
      <c r="B2" s="84" t="s">
        <v>34</v>
      </c>
      <c r="C2" s="85"/>
      <c r="D2" s="83"/>
      <c r="E2" s="83"/>
      <c r="F2" s="83"/>
      <c r="G2" s="83"/>
      <c r="H2" s="83"/>
      <c r="I2" s="83"/>
      <c r="J2" s="83"/>
      <c r="K2" s="83"/>
      <c r="L2" s="83"/>
      <c r="M2" s="83"/>
      <c r="N2" s="83"/>
      <c r="O2" s="83"/>
      <c r="P2" s="83"/>
      <c r="Q2" s="83"/>
      <c r="R2" s="83"/>
      <c r="S2" s="83"/>
      <c r="T2" s="83"/>
      <c r="U2" s="83"/>
      <c r="V2" s="83"/>
      <c r="W2" s="83"/>
      <c r="X2" s="83"/>
      <c r="Y2" s="83"/>
      <c r="Z2" s="83"/>
    </row>
    <row r="3" ht="13.5" customHeight="1">
      <c r="A3" s="86"/>
      <c r="B3" s="87" t="s">
        <v>35</v>
      </c>
      <c r="C3" s="88"/>
      <c r="D3" s="86"/>
      <c r="E3" s="86"/>
      <c r="F3" s="86"/>
      <c r="G3" s="86"/>
      <c r="H3" s="86"/>
      <c r="I3" s="86"/>
      <c r="J3" s="86"/>
      <c r="K3" s="86"/>
      <c r="L3" s="86"/>
      <c r="M3" s="86"/>
      <c r="N3" s="86"/>
      <c r="O3" s="86"/>
      <c r="P3" s="86"/>
      <c r="Q3" s="86"/>
      <c r="R3" s="86"/>
      <c r="S3" s="86"/>
      <c r="T3" s="86"/>
      <c r="U3" s="86"/>
      <c r="V3" s="86"/>
      <c r="W3" s="86"/>
      <c r="X3" s="86"/>
      <c r="Y3" s="86"/>
      <c r="Z3" s="86"/>
    </row>
    <row r="4" ht="12.75" customHeight="1">
      <c r="A4" s="3"/>
      <c r="B4" s="89" t="s">
        <v>36</v>
      </c>
      <c r="C4" s="3"/>
      <c r="D4" s="3"/>
      <c r="E4" s="3"/>
      <c r="F4" s="3"/>
      <c r="G4" s="3"/>
      <c r="H4" s="3"/>
      <c r="I4" s="3"/>
      <c r="J4" s="3"/>
      <c r="K4" s="3"/>
      <c r="L4" s="3"/>
      <c r="M4" s="3"/>
      <c r="N4" s="3"/>
      <c r="O4" s="3"/>
      <c r="P4" s="3"/>
      <c r="Q4" s="3"/>
      <c r="R4" s="3"/>
      <c r="S4" s="3"/>
      <c r="T4" s="3"/>
      <c r="U4" s="3"/>
      <c r="V4" s="3"/>
      <c r="W4" s="3"/>
      <c r="X4" s="3"/>
      <c r="Y4" s="3"/>
      <c r="Z4" s="3"/>
    </row>
    <row r="5" ht="12.75" customHeight="1">
      <c r="A5" s="3"/>
      <c r="B5" s="82"/>
      <c r="C5" s="3"/>
      <c r="D5" s="3"/>
      <c r="E5" s="3"/>
      <c r="F5" s="3"/>
      <c r="G5" s="3"/>
      <c r="H5" s="3"/>
      <c r="I5" s="3"/>
      <c r="J5" s="3"/>
      <c r="K5" s="3"/>
      <c r="L5" s="3"/>
      <c r="M5" s="3"/>
      <c r="N5" s="3"/>
      <c r="O5" s="3"/>
      <c r="P5" s="3"/>
      <c r="Q5" s="3"/>
      <c r="R5" s="3"/>
      <c r="S5" s="3"/>
      <c r="T5" s="3"/>
      <c r="U5" s="3"/>
      <c r="V5" s="3"/>
      <c r="W5" s="3"/>
      <c r="X5" s="3"/>
      <c r="Y5" s="3"/>
      <c r="Z5" s="3"/>
    </row>
    <row r="6" ht="12.75" customHeight="1">
      <c r="A6" s="90"/>
      <c r="B6" s="91" t="s">
        <v>37</v>
      </c>
      <c r="C6" s="90"/>
      <c r="D6" s="90"/>
      <c r="E6" s="90"/>
      <c r="F6" s="90"/>
      <c r="G6" s="90"/>
      <c r="H6" s="90"/>
      <c r="I6" s="90"/>
      <c r="J6" s="90"/>
      <c r="K6" s="90"/>
      <c r="L6" s="90"/>
      <c r="M6" s="90"/>
      <c r="N6" s="90"/>
      <c r="O6" s="90"/>
      <c r="P6" s="90"/>
      <c r="Q6" s="90"/>
      <c r="R6" s="90"/>
      <c r="S6" s="90"/>
      <c r="T6" s="90"/>
      <c r="U6" s="90"/>
      <c r="V6" s="90"/>
      <c r="W6" s="90"/>
      <c r="X6" s="90"/>
      <c r="Y6" s="90"/>
      <c r="Z6" s="90"/>
    </row>
    <row r="7" ht="12.75" customHeight="1">
      <c r="A7" s="3"/>
      <c r="B7" s="92" t="s">
        <v>38</v>
      </c>
      <c r="C7" s="3"/>
      <c r="D7" s="3"/>
      <c r="E7" s="3"/>
      <c r="F7" s="3"/>
      <c r="G7" s="3"/>
      <c r="H7" s="3"/>
      <c r="I7" s="3"/>
      <c r="J7" s="3"/>
      <c r="K7" s="3"/>
      <c r="L7" s="3"/>
      <c r="M7" s="3"/>
      <c r="N7" s="3"/>
      <c r="O7" s="3"/>
      <c r="P7" s="3"/>
      <c r="Q7" s="3"/>
      <c r="R7" s="3"/>
      <c r="S7" s="3"/>
      <c r="T7" s="3"/>
      <c r="U7" s="3"/>
      <c r="V7" s="3"/>
      <c r="W7" s="3"/>
      <c r="X7" s="3"/>
      <c r="Y7" s="3"/>
      <c r="Z7" s="3"/>
    </row>
    <row r="8" ht="12.75" customHeight="1">
      <c r="A8" s="3"/>
      <c r="B8" s="93"/>
      <c r="C8" s="3"/>
      <c r="D8" s="3"/>
      <c r="E8" s="3"/>
      <c r="F8" s="3"/>
      <c r="G8" s="3"/>
      <c r="H8" s="3"/>
      <c r="I8" s="3"/>
      <c r="J8" s="3"/>
      <c r="K8" s="3"/>
      <c r="L8" s="3"/>
      <c r="M8" s="3"/>
      <c r="N8" s="3"/>
      <c r="O8" s="3"/>
      <c r="P8" s="3"/>
      <c r="Q8" s="3"/>
      <c r="R8" s="3"/>
      <c r="S8" s="3"/>
      <c r="T8" s="3"/>
      <c r="U8" s="3"/>
      <c r="V8" s="3"/>
      <c r="W8" s="3"/>
      <c r="X8" s="3"/>
      <c r="Y8" s="3"/>
      <c r="Z8" s="3"/>
    </row>
    <row r="9" ht="12.75" customHeight="1">
      <c r="A9" s="90"/>
      <c r="B9" s="91" t="s">
        <v>39</v>
      </c>
      <c r="C9" s="90"/>
      <c r="D9" s="90"/>
      <c r="E9" s="90"/>
      <c r="F9" s="90"/>
      <c r="G9" s="90"/>
      <c r="H9" s="90"/>
      <c r="I9" s="90"/>
      <c r="J9" s="90"/>
      <c r="K9" s="90"/>
      <c r="L9" s="90"/>
      <c r="M9" s="90"/>
      <c r="N9" s="90"/>
      <c r="O9" s="90"/>
      <c r="P9" s="90"/>
      <c r="Q9" s="90"/>
      <c r="R9" s="90"/>
      <c r="S9" s="90"/>
      <c r="T9" s="90"/>
      <c r="U9" s="90"/>
      <c r="V9" s="90"/>
      <c r="W9" s="90"/>
      <c r="X9" s="90"/>
      <c r="Y9" s="90"/>
      <c r="Z9" s="90"/>
    </row>
    <row r="10" ht="12.75" customHeight="1">
      <c r="A10" s="3"/>
      <c r="B10" s="92" t="s">
        <v>40</v>
      </c>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3"/>
      <c r="B11" s="94" t="s">
        <v>41</v>
      </c>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3"/>
      <c r="B12" s="93"/>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3"/>
      <c r="B13" s="94" t="str">
        <f>HYPERLINK("https://vertex42.link/HowToMakeAGanttChart","► Watch How This Gantt Chart Was Created")</f>
        <v>► Watch How This Gantt Chart Was Created</v>
      </c>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3"/>
      <c r="B14" s="93"/>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90"/>
      <c r="B15" s="91" t="s">
        <v>42</v>
      </c>
      <c r="C15" s="90"/>
      <c r="D15" s="90"/>
      <c r="E15" s="90"/>
      <c r="F15" s="90"/>
      <c r="G15" s="90"/>
      <c r="H15" s="90"/>
      <c r="I15" s="90"/>
      <c r="J15" s="90"/>
      <c r="K15" s="90"/>
      <c r="L15" s="90"/>
      <c r="M15" s="90"/>
      <c r="N15" s="90"/>
      <c r="O15" s="90"/>
      <c r="P15" s="90"/>
      <c r="Q15" s="90"/>
      <c r="R15" s="90"/>
      <c r="S15" s="90"/>
      <c r="T15" s="90"/>
      <c r="U15" s="90"/>
      <c r="V15" s="90"/>
      <c r="W15" s="90"/>
      <c r="X15" s="90"/>
      <c r="Y15" s="90"/>
      <c r="Z15" s="90"/>
    </row>
    <row r="16" ht="12.75" customHeight="1">
      <c r="A16" s="3"/>
      <c r="B16" s="92" t="s">
        <v>43</v>
      </c>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3"/>
      <c r="B17" s="94" t="s">
        <v>44</v>
      </c>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3"/>
      <c r="B18" s="93"/>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90"/>
      <c r="B19" s="91" t="s">
        <v>45</v>
      </c>
      <c r="C19" s="90"/>
      <c r="D19" s="90"/>
      <c r="E19" s="90"/>
      <c r="F19" s="90"/>
      <c r="G19" s="90"/>
      <c r="H19" s="90"/>
      <c r="I19" s="90"/>
      <c r="J19" s="90"/>
      <c r="K19" s="90"/>
      <c r="L19" s="90"/>
      <c r="M19" s="90"/>
      <c r="N19" s="90"/>
      <c r="O19" s="90"/>
      <c r="P19" s="90"/>
      <c r="Q19" s="90"/>
      <c r="R19" s="90"/>
      <c r="S19" s="90"/>
      <c r="T19" s="90"/>
      <c r="U19" s="90"/>
      <c r="V19" s="90"/>
      <c r="W19" s="90"/>
      <c r="X19" s="90"/>
      <c r="Y19" s="90"/>
      <c r="Z19" s="90"/>
    </row>
    <row r="20" ht="12.75" customHeight="1">
      <c r="A20" s="3"/>
      <c r="B20" s="92" t="s">
        <v>46</v>
      </c>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9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92" t="s">
        <v>47</v>
      </c>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82"/>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82"/>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82"/>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82"/>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82"/>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82"/>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82"/>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82"/>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82"/>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82"/>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82"/>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82"/>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82"/>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82"/>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82"/>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82"/>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82"/>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82"/>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82"/>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82"/>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82"/>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82"/>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82"/>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82"/>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82"/>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82"/>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82"/>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82"/>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82"/>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82"/>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82"/>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82"/>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82"/>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82"/>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82"/>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82"/>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82"/>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82"/>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82"/>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82"/>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82"/>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82"/>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82"/>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82"/>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82"/>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82"/>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82"/>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82"/>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82"/>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82"/>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82"/>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82"/>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82"/>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82"/>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82"/>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82"/>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82"/>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82"/>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82"/>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82"/>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82"/>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82"/>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82"/>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82"/>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82"/>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82"/>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82"/>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82"/>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82"/>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82"/>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82"/>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82"/>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82"/>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82"/>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82"/>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82"/>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82"/>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82"/>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82"/>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82"/>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82"/>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82"/>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82"/>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82"/>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82"/>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82"/>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82"/>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82"/>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82"/>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82"/>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82"/>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82"/>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82"/>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82"/>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82"/>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82"/>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82"/>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82"/>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82"/>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82"/>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82"/>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82"/>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82"/>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82"/>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82"/>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82"/>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82"/>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82"/>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82"/>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82"/>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82"/>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82"/>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82"/>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82"/>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82"/>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82"/>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82"/>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82"/>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82"/>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82"/>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82"/>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82"/>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82"/>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82"/>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82"/>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82"/>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82"/>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82"/>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82"/>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82"/>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82"/>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82"/>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82"/>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82"/>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82"/>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82"/>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82"/>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82"/>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82"/>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82"/>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82"/>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82"/>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82"/>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82"/>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82"/>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82"/>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82"/>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82"/>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82"/>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82"/>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82"/>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82"/>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82"/>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82"/>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82"/>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82"/>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82"/>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82"/>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82"/>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82"/>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82"/>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82"/>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82"/>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82"/>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82"/>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82"/>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82"/>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82"/>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82"/>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82"/>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82"/>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82"/>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82"/>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82"/>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82"/>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82"/>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82"/>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82"/>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82"/>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82"/>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82"/>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82"/>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82"/>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82"/>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82"/>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82"/>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82"/>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82"/>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82"/>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82"/>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82"/>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82"/>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82"/>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82"/>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82"/>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82"/>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82"/>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82"/>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82"/>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82"/>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11"/>
    <hyperlink r:id="rId4" ref="B17"/>
  </hyperlinks>
  <printOptions/>
  <pageMargins bottom="0.5" footer="0.0" header="0.0" left="0.5" right="0.5" top="0.5"/>
  <pageSetup orientation="portrait"/>
  <drawing r:id="rId5"/>
</worksheet>
</file>